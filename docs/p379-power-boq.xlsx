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A - Switchgear &amp; SMDBs" state="visible" r:id="rId5"/>
    <sheet sheetId="3" name="B - Distribution Boards" state="visible" r:id="rId6"/>
    <sheet sheetId="4" name="C - Main Cables (LV to SMDB)" state="visible" r:id="rId7"/>
    <sheet sheetId="5" name="D - Distribution Cables" state="visible" r:id="rId8"/>
    <sheet sheetId="6" name="E - Cable Management" state="visible" r:id="rId9"/>
    <sheet sheetId="7" name="Summary of BOQ" state="visible" r:id="rId10"/>
    <sheet sheetId="8" name="F - Earthing &amp; Bonding" state="visible" r:id="rId11"/>
    <sheet sheetId="9" name="G - Sundries &amp; T&amp;C" state="visible" r:id="rId12"/>
  </sheets>
  <definedNames>
    <definedName name="_xlnm.Print_Titles" localSheetId="1">'A - Switchgear &amp; SMDBs'!$1:$3</definedName>
    <definedName name="_xlnm.Print_Titles" localSheetId="2">'B - Distribution Boards'!$1:$3</definedName>
    <definedName name="_xlnm.Print_Titles" localSheetId="3">'C - Main Cables (LV to SMDB)'!$1:$3</definedName>
    <definedName name="_xlnm.Print_Titles" localSheetId="4">'D - Distribution Cables'!$1:$3</definedName>
    <definedName name="_xlnm.Print_Titles" localSheetId="5">'E - Cable Management'!$1:$3</definedName>
    <definedName name="_xlnm.Print_Titles" localSheetId="7">'F - Earthing &amp; Bonding'!$1:$3</definedName>
    <definedName name="_xlnm.Print_Titles" localSheetId="8">'G - Sundries &amp; T&amp;C'!$1:$3</definedName>
  </definedNames>
  <calcPr calcId="171027"/>
</workbook>
</file>

<file path=xl/sharedStrings.xml><?xml version="1.0" encoding="utf-8"?>
<sst xmlns="http://schemas.openxmlformats.org/spreadsheetml/2006/main" count="883" uniqueCount="437">
  <si>
    <t>BILL OF QUANTITIES</t>
  </si>
  <si>
    <t>ELECTRICAL POWER DISTRIBUTION WORKS</t>
  </si>
  <si>
    <t>Project</t>
  </si>
  <si>
    <t>Proposed B+G+8+R Commercial &amp; Residential Building</t>
  </si>
  <si>
    <t>Owner</t>
  </si>
  <si>
    <t>Qutaiba Ameen Abdal Kija</t>
  </si>
  <si>
    <t>Plot No.</t>
  </si>
  <si>
    <t>6731315 — Al Barsha South Third, Dubai, UAE</t>
  </si>
  <si>
    <t>Architect</t>
  </si>
  <si>
    <t>Engr. Samer Mahmoud Ajami (Reg. 105181)</t>
  </si>
  <si>
    <t>Structural</t>
  </si>
  <si>
    <t>Engr. Mohamad Maher Myaser Jabban (Reg. 101079)</t>
  </si>
  <si>
    <t>Consultant</t>
  </si>
  <si>
    <t>Future Art Engineering Consultancy</t>
  </si>
  <si>
    <t>Job No.</t>
  </si>
  <si>
    <t>FA_P379 / CRs B/010/25</t>
  </si>
  <si>
    <t>Drawing Ref</t>
  </si>
  <si>
    <t>P-001 … P-300 (14 sheets, Power Layout)</t>
  </si>
  <si>
    <t>Drawing Date</t>
  </si>
  <si>
    <t>16.01.2026</t>
  </si>
  <si>
    <t>BOQ Date</t>
  </si>
  <si>
    <t>05/05/2026</t>
  </si>
  <si>
    <t>Authority</t>
  </si>
  <si>
    <t>DEWA (Dubai Electricity &amp; Water Authority)</t>
  </si>
  <si>
    <t>Status</t>
  </si>
  <si>
    <t>PRICED (INDICATIVE) — Dubai 2026 market rates · review before submission</t>
  </si>
  <si>
    <t>BUILDING ELECTRICAL LOAD</t>
  </si>
  <si>
    <t>Total Connected Load (TCL)</t>
  </si>
  <si>
    <t>2117.06 kW</t>
  </si>
  <si>
    <t>Demand Factor</t>
  </si>
  <si>
    <t>0.75</t>
  </si>
  <si>
    <t>Maximum Demand (MD)</t>
  </si>
  <si>
    <t>~1597 kW</t>
  </si>
  <si>
    <t>SUMMARY OF SECTIONS</t>
  </si>
  <si>
    <t>Section</t>
  </si>
  <si>
    <t>Description</t>
  </si>
  <si>
    <t>Sheet Ref</t>
  </si>
  <si>
    <t>A</t>
  </si>
  <si>
    <t>LV Switchgear &amp; Sub-Main Distribution Boards (SMDBs)</t>
  </si>
  <si>
    <t>Sheet A</t>
  </si>
  <si>
    <t>B</t>
  </si>
  <si>
    <t>Distribution Boards (DBs) &amp; Consumer Units</t>
  </si>
  <si>
    <t>Sheet B</t>
  </si>
  <si>
    <t>C</t>
  </si>
  <si>
    <t>LV Power Cables — Main &amp; Rising Mains</t>
  </si>
  <si>
    <t>Sheet C</t>
  </si>
  <si>
    <t>D</t>
  </si>
  <si>
    <t>LV Power Cables — Distribution (SMDB to DB)</t>
  </si>
  <si>
    <t>Sheet D</t>
  </si>
  <si>
    <t>E</t>
  </si>
  <si>
    <t>Cable Management — Trays, Ladders &amp; Conduits</t>
  </si>
  <si>
    <t>Sheet E</t>
  </si>
  <si>
    <t>F</t>
  </si>
  <si>
    <t>Earthing &amp; Bonding</t>
  </si>
  <si>
    <t>Sheet F</t>
  </si>
  <si>
    <t>G</t>
  </si>
  <si>
    <t>Sundries, Accessories &amp; Testing/Commissioning</t>
  </si>
  <si>
    <t>Sheet G</t>
  </si>
  <si>
    <t>RECONCILIATION NOTES — corrections applied vs source data</t>
  </si>
  <si>
    <t>• LVP-01 → SMDB-1F…8F risers sized at 4C × 150mm² (PDF wins; XLSX source had 300mm², which is oversized for the 256 A load).</t>
  </si>
  <si>
    <t>• Fire-pump feeder sized at 1×4C 185mm² FR + 1C 95mm² ECC (PDF wins; XLSX source had 2×4C 300mm² FR, which is oversized for 167 A start).</t>
  </si>
  <si>
    <t>• ESMDB-G feeder sized at 4C × 300mm² FR (XLSX wins; PDF source had a 70mm² value in section 4 vs 300mm² in section 8.7 — 70mm² is undersized by ~3× for the 338 A load).</t>
  </si>
  <si>
    <t>• Building totals on Cover (TCL 2,117.06 kW · MD ~1,597 kW · DF 0.80) sourced from comparison PDF — no load_summary in live extraction.</t>
  </si>
  <si>
    <t>• Rate column F populated with INDICATIVE Dubai 2026 rates from scripts/lib/dubai-2026-rates.mjs. Review and adjust to actual supplier quotations before tender submission.</t>
  </si>
  <si>
    <t>STATUS: PRICED (INDICATIVE) — Dubai 2026 market rates · review before submission</t>
  </si>
  <si>
    <t>NOTE: All quantities are ESTIMATED. Cable lengths include 10% routing allowance. Confirm all quantities before procurement.</t>
  </si>
  <si>
    <t>BILL OF QUANTITIES — SECTION A: LV SWITCHGEAR &amp; SUB-MAIN DISTRIBUTION BOARDS</t>
  </si>
  <si>
    <t>Project: Proposed B+G+8+R Commercial &amp; Residential Building, Plot 6731315, Al Barsha South Third, Dubai, UAE  |  Job: FA_P379 / CRs B/010/25</t>
  </si>
  <si>
    <t>Item</t>
  </si>
  <si>
    <t>Reference</t>
  </si>
  <si>
    <t>Unit</t>
  </si>
  <si>
    <t>Qty</t>
  </si>
  <si>
    <t xml:space="preserve">Unit Rate
(AED)</t>
  </si>
  <si>
    <t xml:space="preserve">Amount
(AED)</t>
  </si>
  <si>
    <t>Remarks</t>
  </si>
  <si>
    <t>A1 — LV PANELS &amp; MAIN SWITCHGEAR (Supply, Install, Test &amp; Commission)</t>
  </si>
  <si>
    <t>A1.1</t>
  </si>
  <si>
    <t>LVP-01: 3P+N+E, 415V, 50Hz, floor-standing, metal-clad LV switchboard, incl. 2000A main ACB (50 kA), busbars, metering. Outgoing: 8× 300A TP to SMDB-1F..8F. Complete as per SLD.</t>
  </si>
  <si>
    <t>P-200 / P-201</t>
  </si>
  <si>
    <t>Nr</t>
  </si>
  <si>
    <t>LVP-01 main panel</t>
  </si>
  <si>
    <t>A1.2</t>
  </si>
  <si>
    <t>Capacitor Bank — 375 kVAR, 415V, automatic PF correction for LVP-01.</t>
  </si>
  <si>
    <t>SLD</t>
  </si>
  <si>
    <t>LVP-01 PF correction</t>
  </si>
  <si>
    <t>A1.3</t>
  </si>
  <si>
    <t>LVP-02: 3P+N+E, 415V, 50Hz, floor-standing, metal-clad LV switchboard, incl. 1600A main ACB (50 kA), busbars, metering. Outgoing: 1× 500A TP to SMDB-RF, 1× 160A TP to SMDB-EV, 1× 125A TP to SMDB-G, 12× 50A TP to SMDB-SH01..12, 1× 400A TP to ESMDB-G, 1× 350A TP to Fire Pump. Complete as per SLD.</t>
  </si>
  <si>
    <t>LVP-02 main panel</t>
  </si>
  <si>
    <t>A1.4</t>
  </si>
  <si>
    <t>Capacitor Bank — 275 kVAR, 415V, automatic PF correction for LVP-02.</t>
  </si>
  <si>
    <t>LVP-02 PF correction</t>
  </si>
  <si>
    <t>A1.5</t>
  </si>
  <si>
    <t>Automatic Transfer Switch (ATS) Panel — 415V, 400A, 4P. Complete with controls and interlocking.</t>
  </si>
  <si>
    <t>Mains/Gen changeover</t>
  </si>
  <si>
    <t>A1.6</t>
  </si>
  <si>
    <t>Standby Generator — 300 kVA, 415V/3Ph/50Hz, diesel, weatherproof canopy, AMF panel, fuel tank, exhaust, anti-vibration mounts. Complete installed and commissioned.</t>
  </si>
  <si>
    <t>Backup to essential</t>
  </si>
  <si>
    <t>Sub-Total A1</t>
  </si>
  <si>
    <t/>
  </si>
  <si>
    <t>A2 — SUB-MAIN DISTRIBUTION BOARDS (SMDBs) — Typical Floors</t>
  </si>
  <si>
    <t>A2.1</t>
  </si>
  <si>
    <t>SMDB-1F: Floor-standing SMDB, 300A TP MCCB 35kA incomer, 415V, outgoing MCCBs as per SLD. Incl. busbar, earth bar, DIN rail, metering provisions. Supply, install, test &amp; commission. Connected load: 150.86 kW.</t>
  </si>
  <si>
    <t>1F — 150.86 kW</t>
  </si>
  <si>
    <t>A2.2</t>
  </si>
  <si>
    <t>SMDB-2F: Floor-standing SMDB, 300A TP MCCB 35kA incomer, 415V, outgoing MCCBs as per SLD. Incl. busbar, earth bar, DIN rail, metering provisions. Supply, install, test &amp; commission. Connected load: 150.86 kW.</t>
  </si>
  <si>
    <t>2F — 150.86 kW</t>
  </si>
  <si>
    <t>A2.3</t>
  </si>
  <si>
    <t>SMDB-3F: Floor-standing SMDB, 300A TP MCCB 35kA incomer, 415V, outgoing MCCBs as per SLD. Incl. busbar, earth bar, DIN rail, metering provisions. Supply, install, test &amp; commission. Connected load: 150.86 kW.</t>
  </si>
  <si>
    <t>3F — 150.86 kW</t>
  </si>
  <si>
    <t>A2.4</t>
  </si>
  <si>
    <t>SMDB-4F: Floor-standing SMDB, 300A TP MCCB 35kA incomer, 415V, outgoing MCCBs as per SLD. Incl. busbar, earth bar, DIN rail, metering provisions. Supply, install, test &amp; commission. Connected load: 150.86 kW.</t>
  </si>
  <si>
    <t>4F — 150.86 kW</t>
  </si>
  <si>
    <t>A2.5</t>
  </si>
  <si>
    <t>SMDB-5F: Floor-standing SMDB, 300A TP MCCB 35kA incomer, 415V, outgoing MCCBs as per SLD. Incl. busbar, earth bar, DIN rail, metering provisions. Supply, install, test &amp; commission. Connected load: 150.86 kW.</t>
  </si>
  <si>
    <t>5F — 150.86 kW</t>
  </si>
  <si>
    <t>A2.6</t>
  </si>
  <si>
    <t>SMDB-6F: Floor-standing SMDB, 300A TP MCCB 35kA incomer, 415V, outgoing MCCBs as per SLD. Incl. busbar, earth bar, DIN rail, metering provisions. Supply, install, test &amp; commission. Connected load: 150.86 kW.</t>
  </si>
  <si>
    <t>6F — 150.86 kW</t>
  </si>
  <si>
    <t>A2.7</t>
  </si>
  <si>
    <t>SMDB-7F: Floor-standing SMDB, 300A TP MCCB 35kA incomer, 415V, outgoing MCCBs as per SLD. Incl. busbar, earth bar, DIN rail, metering provisions. Supply, install, test &amp; commission. Connected load: 150.86 kW.</t>
  </si>
  <si>
    <t>7F — 150.86 kW</t>
  </si>
  <si>
    <t>A2.8</t>
  </si>
  <si>
    <t>SMDB-8F: Floor-standing SMDB, 300A TP MCCB 35kA incomer, 415V, outgoing MCCBs as per SLD. Incl. busbar, earth bar, DIN rail, metering provisions. Supply, install, test &amp; commission. Connected load: 150.86 kW.</t>
  </si>
  <si>
    <t>8F — 150.86 kW</t>
  </si>
  <si>
    <t>Sub-Total A2</t>
  </si>
  <si>
    <t>A3 — SMDBs — Ground Floor, Roof, Services &amp; Emergency</t>
  </si>
  <si>
    <t>A3.1</t>
  </si>
  <si>
    <t>SMDB-TF-odd (Emergency SMDB): Floor-standing emergency board, 300A TP MCCB 35kA incomer, fire-rated cable terminations, generator-backed via ATS. Supply, install, test &amp; commission.</t>
  </si>
  <si>
    <t>1F/3F/5F/7F — 150.86 kW</t>
  </si>
  <si>
    <t>A3.2</t>
  </si>
  <si>
    <t>SMDB-TF-even (Emergency SMDB): Floor-standing emergency board, 300A TP MCCB 35kA incomer, fire-rated cable terminations, generator-backed via ATS. Supply, install, test &amp; commission.</t>
  </si>
  <si>
    <t>2F/4F/6F/8F — 150.86 kW</t>
  </si>
  <si>
    <t>A3.3</t>
  </si>
  <si>
    <t>SMDB-RF (Emergency SMDB): Floor-standing emergency board, 500A TP MCCB 35kA incomer, fire-rated cable terminations, generator-backed via ATS. Supply, install, test &amp; commission.</t>
  </si>
  <si>
    <t>Roof — 248.63 kW</t>
  </si>
  <si>
    <t>A3.4</t>
  </si>
  <si>
    <t>SMDB-G (Emergency SMDB): Floor-standing emergency board, 125A TP MCCB 35kA incomer, fire-rated cable terminations, generator-backed via ATS. Supply, install, test &amp; commission.</t>
  </si>
  <si>
    <t>Ground — 60.55 kW</t>
  </si>
  <si>
    <t>A3.5</t>
  </si>
  <si>
    <t>SMDB-EV (Emergency SMDB): Floor-standing emergency board, 160A TP MCCB 35kA incomer, fire-rated cable terminations, generator-backed via ATS. Supply, install, test &amp; commission.</t>
  </si>
  <si>
    <t>Basement — 88 kW</t>
  </si>
  <si>
    <t>A3.6</t>
  </si>
  <si>
    <t>SMDB-SH01: Wall-mounted retail shop SMDB, 40A TP MCCB 35kA incomer, outgoing MCCBs for retail unit. Supply, install, test &amp; commission.</t>
  </si>
  <si>
    <t>Ground — 15 kW</t>
  </si>
  <si>
    <t>A3.7</t>
  </si>
  <si>
    <t>SMDB-SH02: Wall-mounted retail shop SMDB, 40A TP MCCB 35kA incomer, outgoing MCCBs for retail unit. Supply, install, test &amp; commission.</t>
  </si>
  <si>
    <t>A3.8</t>
  </si>
  <si>
    <t>SMDB-SH03: Wall-mounted retail shop SMDB, 40A TP MCCB 35kA incomer, outgoing MCCBs for retail unit. Supply, install, test &amp; commission.</t>
  </si>
  <si>
    <t>A3.9</t>
  </si>
  <si>
    <t>SMDB-SH04: Wall-mounted retail shop SMDB, 40A TP MCCB 35kA incomer, outgoing MCCBs for retail unit. Supply, install, test &amp; commission.</t>
  </si>
  <si>
    <t>A3.10</t>
  </si>
  <si>
    <t>SMDB-SH05: Wall-mounted retail shop SMDB, 40A TP MCCB 35kA incomer, outgoing MCCBs for retail unit. Supply, install, test &amp; commission.</t>
  </si>
  <si>
    <t>Ground — 25 kW</t>
  </si>
  <si>
    <t>A3.11</t>
  </si>
  <si>
    <t>SMDB-SH06: Wall-mounted retail shop SMDB, 40A TP MCCB 35kA incomer, outgoing MCCBs for retail unit. Supply, install, test &amp; commission.</t>
  </si>
  <si>
    <t>Ground — 10 kW</t>
  </si>
  <si>
    <t>A3.12</t>
  </si>
  <si>
    <t>SMDB-SH07: Wall-mounted retail shop SMDB, 40A TP MCCB 35kA incomer, outgoing MCCBs for retail unit. Supply, install, test &amp; commission.</t>
  </si>
  <si>
    <t>A3.13</t>
  </si>
  <si>
    <t>SMDB-SH08: Wall-mounted retail shop SMDB, 40A TP MCCB 35kA incomer, outgoing MCCBs for retail unit. Supply, install, test &amp; commission.</t>
  </si>
  <si>
    <t>Ground — 40 kW</t>
  </si>
  <si>
    <t>A3.14</t>
  </si>
  <si>
    <t>SMDB-SH09: Wall-mounted retail shop SMDB, 40A TP MCCB 35kA incomer, outgoing MCCBs for retail unit. Supply, install, test &amp; commission.</t>
  </si>
  <si>
    <t>A3.15</t>
  </si>
  <si>
    <t>SMDB-SH10: Wall-mounted retail shop SMDB, 40A TP MCCB 35kA incomer, outgoing MCCBs for retail unit. Supply, install, test &amp; commission.</t>
  </si>
  <si>
    <t>A3.16</t>
  </si>
  <si>
    <t>SMDB-SH11: Wall-mounted retail shop SMDB, 40A TP MCCB 35kA incomer, outgoing MCCBs for retail unit. Supply, install, test &amp; commission.</t>
  </si>
  <si>
    <t>A3.17</t>
  </si>
  <si>
    <t>SMDB-SH12: Wall-mounted retail shop SMDB, 63A TP MCCB 35kA incomer, outgoing MCCBs for retail unit. Supply, install, test &amp; commission.</t>
  </si>
  <si>
    <t>Ground — 30 kW</t>
  </si>
  <si>
    <t>A3.18</t>
  </si>
  <si>
    <t>ESMDB-G (Emergency SMDB): Floor-standing emergency board, 400A TP MCCB 35kA incomer, fire-rated cable terminations, generator-backed via ATS. Supply, install, test &amp; commission.</t>
  </si>
  <si>
    <t>Ground — 190.08 kW</t>
  </si>
  <si>
    <t>A3.19</t>
  </si>
  <si>
    <t>ESMDB-RF (Emergency SMDB): Floor-standing emergency board, 160A TP MCCB 35kA incomer, fire-rated cable terminations, generator-backed via ATS. Supply, install, test &amp; commission.</t>
  </si>
  <si>
    <t>Roof — 88.69 kW</t>
  </si>
  <si>
    <t>Sub-Total A3</t>
  </si>
  <si>
    <t>SECTION A — TOTAL</t>
  </si>
  <si>
    <t>BILL OF QUANTITIES — SECTION B: DISTRIBUTION BOARDS (DBs) &amp; CONSUMER UNITS</t>
  </si>
  <si>
    <t>B1 — DISTRIBUTION BOARDS (per cable schedule)</t>
  </si>
  <si>
    <t>B1.1</t>
  </si>
  <si>
    <t>DB-G: Distribution board fed from SMDB-G, 63A TP incomer. 4C 16mm2 XLPE/SWA/PVC +1C 16mm2 ECC</t>
  </si>
  <si>
    <t>Ground</t>
  </si>
  <si>
    <t>B1.2</t>
  </si>
  <si>
    <t>DB-F1: Distribution board fed from SMDB-G, 40A TP incomer. 4C 10mm2 XLPE/SWA/PVC +1C 10mm2 ECC</t>
  </si>
  <si>
    <t>B1.3</t>
  </si>
  <si>
    <t>DB-F4: Distribution board fed from SMDB-G, 40A TP incomer. 4C 10mm2 XLPE/SWA/PVC +1C 10mm2 ECC</t>
  </si>
  <si>
    <t>B1.4</t>
  </si>
  <si>
    <t>DB-F5: Distribution board fed from SMDB-G, 40A TP incomer. 4C 10mm2 XLPE/SWA/PVC +1C 10mm2 ECC</t>
  </si>
  <si>
    <t>B1.5</t>
  </si>
  <si>
    <t>DB-L.GYM: Distribution board fed from SMDB-RF, 40A TP incomer. 4C 10mm2 XLPE/SWA/PVC +1C 10mm2 ECC</t>
  </si>
  <si>
    <t>Roof</t>
  </si>
  <si>
    <t>B1.6</t>
  </si>
  <si>
    <t>DB-G.GYM: Distribution board fed from SMDB-RF, 40A TP incomer. 4C 10mm2 XLPE/SWA/PVC +1C 10mm2 ECC</t>
  </si>
  <si>
    <t>B1.7</t>
  </si>
  <si>
    <t>DB-WM: Distribution board fed from SMDB-RF, 40A TP incomer. 2C 10mm2 XLPE/SWA/PVC +1C 10mm2 ECC</t>
  </si>
  <si>
    <t>B1.8</t>
  </si>
  <si>
    <t>EDB-G: Distribution board fed from ESMDB-G, 40A TP incomer. 4C 10mm2 FIRE RATED +1C 10mm2 ECC</t>
  </si>
  <si>
    <t>B1.9</t>
  </si>
  <si>
    <t>EDB-1F: Distribution board fed from ESMDB-G, 32A TP incomer. 4C 6mm2 FIRE RATED +1C 6mm2 ECC</t>
  </si>
  <si>
    <t>1F</t>
  </si>
  <si>
    <t>B1.10</t>
  </si>
  <si>
    <t>EDB-TEL: Distribution board fed from ESMDB-G, 40A TP incomer. 4C 10mm2 FIRE RATED +1C 10mm2 ECC</t>
  </si>
  <si>
    <t>B1.11</t>
  </si>
  <si>
    <t>EDB-PR: Distribution board fed from ESMDB-G, 40A TP incomer. 4C 10mm2 FIRE RATED +1C 10mm2 ECC</t>
  </si>
  <si>
    <t>Underground</t>
  </si>
  <si>
    <t>B1.12</t>
  </si>
  <si>
    <t>EDB-4F: Distribution board fed from ESMDB-RF, 40A TP incomer. 4C 10mm2 FIRE RATED +1C 10mm2 ECC</t>
  </si>
  <si>
    <t>4F</t>
  </si>
  <si>
    <t>B1.13</t>
  </si>
  <si>
    <t>EDB-7F: Distribution board fed from ESMDB-RF, 40A TP incomer. 4C 10mm2 FIRE RATED +1C 10mm2 ECC</t>
  </si>
  <si>
    <t>7F</t>
  </si>
  <si>
    <t>B1.14</t>
  </si>
  <si>
    <t>EDB-GSM-R: Distribution board fed from ESMDB-RF, 40A TP incomer. 4C 10mm2 FIRE RATED +1C 10mm2 ECC</t>
  </si>
  <si>
    <t>B1.15</t>
  </si>
  <si>
    <t>DB-T01 to DB-T15 (odd floors): Distribution board fed from SMDB-TF-odd, 40A TP incomer. 4C 16mm2 XLPE/SWA/PVC +1C 16mm2 ECC</t>
  </si>
  <si>
    <t>1F/3F/5F/7F</t>
  </si>
  <si>
    <t>B1.16</t>
  </si>
  <si>
    <t>DB-T01 to DB-T15 (even floors): Distribution board fed from SMDB-TF-even, 40A TP incomer. 4C 16mm2 XLPE/SWA/PVC +1C 16mm2 ECC</t>
  </si>
  <si>
    <t>2F/4F/6F/8F</t>
  </si>
  <si>
    <t>B1.17</t>
  </si>
  <si>
    <t>DB-SHOP01 to DB-SHOP12: Distribution board fed from SMDB-SH01 to SMDB-SH12, TP incomer. Internal distribution by tenant</t>
  </si>
  <si>
    <t>Sub-Total B1</t>
  </si>
  <si>
    <t>SECTION B — TOTAL</t>
  </si>
  <si>
    <t>BILL OF QUANTITIES — SECTION C: LV POWER CABLES — MAIN &amp; RISING MAINS (LV Panel to SMDBs)</t>
  </si>
  <si>
    <t>C1 — XLPE/SWA/PVC LV CABLES (LV Panel to SMDB) — Supply &amp; Install incl. fixings, glands, terminations</t>
  </si>
  <si>
    <t>C1.1</t>
  </si>
  <si>
    <t>4C × 150mm² XLPE/SWA/PVC 600/1000V armoured cable — LVP-01 to SMDB-1F (4C 150mm2 XLPE/SWA/PVC +1x1x70mm2 ECC). Installed in cable tray/ladder. Incl. cable glands, lugs, ferrules and terminations at both ends.</t>
  </si>
  <si>
    <t>m</t>
  </si>
  <si>
    <t>C1.2</t>
  </si>
  <si>
    <t>4C × 150mm² XLPE/SWA/PVC 600/1000V armoured cable — LVP-01 to SMDB-2F (4C 150mm2 XLPE/SWA/PVC +1x1x70mm2 ECC). Installed in cable tray/ladder. Incl. cable glands, lugs, ferrules and terminations at both ends.</t>
  </si>
  <si>
    <t>C1.3</t>
  </si>
  <si>
    <t>4C × 150mm² XLPE/SWA/PVC 600/1000V armoured cable — LVP-01 to SMDB-3F (4C 150mm2 XLPE/SWA/PVC +1x1x70mm2 ECC). Installed in cable tray/ladder. Incl. cable glands, lugs, ferrules and terminations at both ends.</t>
  </si>
  <si>
    <t>C1.4</t>
  </si>
  <si>
    <t>4C × 150mm² XLPE/SWA/PVC 600/1000V armoured cable — LVP-01 to SMDB-4F (4C 150mm2 XLPE/SWA/PVC +1x1x70mm2 ECC). Installed in cable tray/ladder. Incl. cable glands, lugs, ferrules and terminations at both ends.</t>
  </si>
  <si>
    <t>C1.5</t>
  </si>
  <si>
    <t>4C × 150mm² XLPE/SWA/PVC 600/1000V armoured cable — LVP-01 to SMDB-5F (4C 150mm2 XLPE/SWA/PVC +1x1x70mm2 ECC). Installed in cable tray/ladder. Incl. cable glands, lugs, ferrules and terminations at both ends.</t>
  </si>
  <si>
    <t>C1.6</t>
  </si>
  <si>
    <t>4C × 150mm² XLPE/SWA/PVC 600/1000V armoured cable — LVP-01 to SMDB-6F (4C 150mm2 XLPE/SWA/PVC +1x1x70mm2 ECC). Installed in cable tray/ladder. Incl. cable glands, lugs, ferrules and terminations at both ends.</t>
  </si>
  <si>
    <t>C1.7</t>
  </si>
  <si>
    <t>4C × 150mm² XLPE/SWA/PVC 600/1000V armoured cable — LVP-01 to SMDB-7F (4C 150mm2 XLPE/SWA/PVC +1x1x70mm2 ECC). Installed in cable tray/ladder. Incl. cable glands, lugs, ferrules and terminations at both ends.</t>
  </si>
  <si>
    <t>C1.8</t>
  </si>
  <si>
    <t>4C × 150mm² XLPE/SWA/PVC 600/1000V armoured cable — LVP-01 to SMDB-8F (4C 150mm2 XLPE/SWA/PVC +1x1x70mm2 ECC). Installed in cable tray/ladder. Incl. cable glands, lugs, ferrules and terminations at both ends.</t>
  </si>
  <si>
    <t>C1.9</t>
  </si>
  <si>
    <t>4C × 185mm² XLPE/SWA/PVC 600/1000V armoured cable — LVP-01 to SMDB-TF-odd (1X4C 185mm2 XLPE/SWA/PVC +1C 95mm2 ECC). Installed in cable tray/ladder. Incl. cable glands, lugs, ferrules and terminations at both ends.</t>
  </si>
  <si>
    <t>C1.10</t>
  </si>
  <si>
    <t>4C × 185mm² XLPE/SWA/PVC 600/1000V armoured cable — LVP-01 to SMDB-TF-even (1X4C 185mm2 XLPE/SWA/PVC +1C 95mm2 ECC). Installed in cable tray/ladder. Incl. cable glands, lugs, ferrules and terminations at both ends.</t>
  </si>
  <si>
    <t>C1.11</t>
  </si>
  <si>
    <t>4C × 150mm² XLPE/SWA/PVC 600/1000V armoured cable — LVP-02 to SMDB-RF (2X4C 150mm2 XLPE/SWA/PVC +1X1C 150mm2 ECC). Installed in cable tray/ladder. Incl. cable glands, lugs, ferrules and terminations at both ends.</t>
  </si>
  <si>
    <t>C1.12</t>
  </si>
  <si>
    <t>4C × 50mm² XLPE/SWA/PVC 600/1000V armoured cable — LVP-02 to SMDB-G (1X4C 50mm2 XLPE/SWA/PVC +1X1C 25mm2 ECC). Installed in cable tray/ladder. Incl. cable glands, lugs, ferrules and terminations at both ends.</t>
  </si>
  <si>
    <t>C1.13</t>
  </si>
  <si>
    <t>4C × 70mm² XLPE/SWA/PVC 600/1000V armoured cable — LVP-02 to SMDB-EV (1X4C 70mm2 XLPE/SWA/PVC +1X1C 35mm2 ECC). Installed in cable tray/ladder. Incl. cable glands, lugs, ferrules and terminations at both ends.</t>
  </si>
  <si>
    <t>C1.14</t>
  </si>
  <si>
    <t>4C × 10mm² XLPE/SWA/PVC 600/1000V armoured cable — LVP-02 to SMDB-SH01 (1X4C 10mm2 XLPE/SWA/PVC). Installed in cable tray/ladder. Incl. cable glands, lugs, ferrules and terminations at both ends.</t>
  </si>
  <si>
    <t>C1.15</t>
  </si>
  <si>
    <t>4C × 10mm² XLPE/SWA/PVC 600/1000V armoured cable — LVP-02 to SMDB-SH02 (1X4C 10mm2 XLPE/SWA/PVC). Installed in cable tray/ladder. Incl. cable glands, lugs, ferrules and terminations at both ends.</t>
  </si>
  <si>
    <t>C1.16</t>
  </si>
  <si>
    <t>4C × 10mm² XLPE/SWA/PVC 600/1000V armoured cable — LVP-02 to SMDB-SH03 (1X4C 10mm2 XLPE/SWA/PVC). Installed in cable tray/ladder. Incl. cable glands, lugs, ferrules and terminations at both ends.</t>
  </si>
  <si>
    <t>C1.17</t>
  </si>
  <si>
    <t>4C × 10mm² XLPE/SWA/PVC 600/1000V armoured cable — LVP-02 to SMDB-SH04 (1X4C 10mm2 XLPE/SWA/PVC). Installed in cable tray/ladder. Incl. cable glands, lugs, ferrules and terminations at both ends.</t>
  </si>
  <si>
    <t>C1.18</t>
  </si>
  <si>
    <t>4C × 10mm² XLPE/SWA/PVC 600/1000V armoured cable — LVP-02 to SMDB-SH05 (1X4C 10mm2 XLPE/SWA/PVC). Installed in cable tray/ladder. Incl. cable glands, lugs, ferrules and terminations at both ends.</t>
  </si>
  <si>
    <t>C1.19</t>
  </si>
  <si>
    <t>4C × 10mm² XLPE/SWA/PVC 600/1000V armoured cable — LVP-02 to SMDB-SH06 (1X4C 10mm2 XLPE/SWA/PVC). Installed in cable tray/ladder. Incl. cable glands, lugs, ferrules and terminations at both ends.</t>
  </si>
  <si>
    <t>C1.20</t>
  </si>
  <si>
    <t>4C × 10mm² XLPE/SWA/PVC 600/1000V armoured cable — LVP-02 to SMDB-SH07 (1X4C 10mm2 XLPE/SWA/PVC). Installed in cable tray/ladder. Incl. cable glands, lugs, ferrules and terminations at both ends.</t>
  </si>
  <si>
    <t>C1.21</t>
  </si>
  <si>
    <t>4C × 10mm² XLPE/SWA/PVC 600/1000V armoured cable — LVP-02 to SMDB-SH08 (1X4C 10mm2 XLPE/SWA/PVC). Installed in cable tray/ladder. Incl. cable glands, lugs, ferrules and terminations at both ends.</t>
  </si>
  <si>
    <t>C1.22</t>
  </si>
  <si>
    <t>4C × 10mm² XLPE/SWA/PVC 600/1000V armoured cable — LVP-02 to SMDB-SH09 (1X4C 10mm2 XLPE/SWA/PVC). Installed in cable tray/ladder. Incl. cable glands, lugs, ferrules and terminations at both ends.</t>
  </si>
  <si>
    <t>C1.23</t>
  </si>
  <si>
    <t>4C × 10mm² XLPE/SWA/PVC 600/1000V armoured cable — LVP-02 to SMDB-SH10 (1X4C 10mm2 XLPE/SWA/PVC). Installed in cable tray/ladder. Incl. cable glands, lugs, ferrules and terminations at both ends.</t>
  </si>
  <si>
    <t>C1.24</t>
  </si>
  <si>
    <t>4C × 10mm² XLPE/SWA/PVC 600/1000V armoured cable — LVP-02 to SMDB-SH11 (1X4C 10mm2 XLPE/SWA/PVC). Installed in cable tray/ladder. Incl. cable glands, lugs, ferrules and terminations at both ends.</t>
  </si>
  <si>
    <t>C1.25</t>
  </si>
  <si>
    <t>4C × 16mm² XLPE/SWA/PVC 600/1000V armoured cable — LVP-02 to SMDB-SH12 (1X4C 16mm2 XLPE/SWA/PVC). Installed in cable tray/ladder. Incl. cable glands, lugs, ferrules and terminations at both ends.</t>
  </si>
  <si>
    <t>Sub-Total C1 (XLPE/SWA)</t>
  </si>
  <si>
    <t>C2 — FIRE-RATED (FR) CABLES — Emergency &amp; Fire Services Rising Mains</t>
  </si>
  <si>
    <t>C2.1</t>
  </si>
  <si>
    <t>4C × 300mm² Fire-Rated (BS6387 CWZ / IEC 60331) cable — LVP-02 to ESMDB-G (4C 300mm2 FIRE RATED +1C 35mm2 ECC). Installed in dedicated fire-rated conduit/tray.</t>
  </si>
  <si>
    <t>C2.2</t>
  </si>
  <si>
    <t>4C × 185mm² Fire-Rated (BS6387 CWZ / IEC 60331) cable — LVP-02 to Fire Pump (1X4C 185mm2 FP400 FIRE RATED +1C 95mm2 FR ECC, 350A TP). Installed in dedicated fire-rated conduit/tray.</t>
  </si>
  <si>
    <t>Sub-Total C2 (Fire Rated)</t>
  </si>
  <si>
    <t>C3 — EARTH CONTINUITY CONDUCTORS (ECC) for Rising Mains</t>
  </si>
  <si>
    <t>C3.1</t>
  </si>
  <si>
    <t>1C × 35mm² bare/green-yellow XLPE ECC — alongside fire-rated cables.</t>
  </si>
  <si>
    <t>Allow per FR run</t>
  </si>
  <si>
    <t>C3.2</t>
  </si>
  <si>
    <t>1C × 10mm²–70mm² bare/green-yellow XLPE ECC — alongside all XLPE rising mains. (Allow per run)</t>
  </si>
  <si>
    <t>Estimate — confirm per run</t>
  </si>
  <si>
    <t>Sub-Total C3 (ECC)</t>
  </si>
  <si>
    <t>SECTION C — TOTAL</t>
  </si>
  <si>
    <t>BILL OF QUANTITIES — SECTION D: LV POWER CABLES — DISTRIBUTION (SMDB to DB)</t>
  </si>
  <si>
    <t>D1 — XLPE/SWA/PVC DISTRIBUTION CABLES — SMDB to DB</t>
  </si>
  <si>
    <t>D1.1</t>
  </si>
  <si>
    <t>4C × 16mm² XLPE/SWA/PVC 600/1000V armoured cable — SMDB-G to DB-G.</t>
  </si>
  <si>
    <t>D1.2</t>
  </si>
  <si>
    <t>4C × 10mm² XLPE/SWA/PVC 600/1000V armoured cable — SMDB-G to DB-F1.</t>
  </si>
  <si>
    <t>D1.3</t>
  </si>
  <si>
    <t>4C × 10mm² XLPE/SWA/PVC 600/1000V armoured cable — SMDB-G to DB-F4.</t>
  </si>
  <si>
    <t>D1.4</t>
  </si>
  <si>
    <t>4C × 10mm² XLPE/SWA/PVC 600/1000V armoured cable — SMDB-G to DB-F5.</t>
  </si>
  <si>
    <t>D1.5</t>
  </si>
  <si>
    <t>4C × 10mm² XLPE/SWA/PVC 600/1000V armoured cable — SMDB-RF to DB-L.GYM.</t>
  </si>
  <si>
    <t>D1.6</t>
  </si>
  <si>
    <t>4C × 10mm² XLPE/SWA/PVC 600/1000V armoured cable — SMDB-RF to DB-G.GYM.</t>
  </si>
  <si>
    <t>D1.7</t>
  </si>
  <si>
    <t>4C × 10mm² XLPE/SWA/PVC 600/1000V armoured cable — SMDB-RF to DB-WM.</t>
  </si>
  <si>
    <t>D1.8</t>
  </si>
  <si>
    <t>4C × 16mm² XLPE/SWA/PVC 600/1000V armoured cable — SMDB-TF-odd to DB-T01 to DB-T15 odd floors.</t>
  </si>
  <si>
    <t>D1.9</t>
  </si>
  <si>
    <t>4C × 16mm² XLPE/SWA/PVC 600/1000V armoured cable — SMDB-TF-even to DB-T01 to DB-T15 even floors.</t>
  </si>
  <si>
    <t>Sub-Total D1</t>
  </si>
  <si>
    <t>D2 — EMERGENCY DISTRIBUTION CABLES (Fire Rated)</t>
  </si>
  <si>
    <t>D2.1</t>
  </si>
  <si>
    <t>4C × 70mm² Fire-Rated cable — ESMDB-G to ESMDB-RF.</t>
  </si>
  <si>
    <t>D2.2</t>
  </si>
  <si>
    <t>4C × 10mm² Fire-Rated cable — ESMDB-G to EDB-G.</t>
  </si>
  <si>
    <t>D2.3</t>
  </si>
  <si>
    <t>4C × 6mm² Fire-Rated cable — ESMDB-G to EDB-1F.</t>
  </si>
  <si>
    <t>D2.4</t>
  </si>
  <si>
    <t>4C × 10mm² Fire-Rated cable — ESMDB-G to EDB-TEL.</t>
  </si>
  <si>
    <t>D2.5</t>
  </si>
  <si>
    <t>4C × 10mm² Fire-Rated cable — ESMDB-G to EDB-PR.</t>
  </si>
  <si>
    <t>D2.6</t>
  </si>
  <si>
    <t>4C × 10mm² Fire-Rated cable — ESMDB-RF to EDB-4F.</t>
  </si>
  <si>
    <t>D2.7</t>
  </si>
  <si>
    <t>4C × 10mm² Fire-Rated cable — ESMDB-RF to EDB-7F.</t>
  </si>
  <si>
    <t>D2.8</t>
  </si>
  <si>
    <t>4C × 10mm² Fire-Rated cable — ESMDB-RF to EDB-GSM-R.</t>
  </si>
  <si>
    <t>D2.9</t>
  </si>
  <si>
    <t>4C × 10mm² Fire-Rated cable — ESMDB-RF to Lift-01.</t>
  </si>
  <si>
    <t>D2.10</t>
  </si>
  <si>
    <t>4C × 10mm² Fire-Rated cable — ESMDB-RF to Lift-02.</t>
  </si>
  <si>
    <t>D2.11</t>
  </si>
  <si>
    <t>4C × 10mm² Fire-Rated cable — ESMDB-RF to Lift-03.</t>
  </si>
  <si>
    <t>D2.12</t>
  </si>
  <si>
    <t>4C × 10mm² Fire-Rated cable — ESMDB-RF to Booster Pump.</t>
  </si>
  <si>
    <t>Sub-Total D2</t>
  </si>
  <si>
    <t>SECTION D — TOTAL</t>
  </si>
  <si>
    <t>BILL OF QUANTITIES — SECTION E: CABLE MANAGEMENT — TRAYS, LADDERS &amp; CONDUITS</t>
  </si>
  <si>
    <t>E1 — CABLE TRAYS, LADDERS &amp; CONDUITS</t>
  </si>
  <si>
    <t>E1.1</t>
  </si>
  <si>
    <t>GI Hot-dip galvanised cable ladder, 500mm × 100mm side rail (vertical riser shaft, UG to Roof), c/w supports, brackets, bends, tees, fixings.</t>
  </si>
  <si>
    <t>E1.2</t>
  </si>
  <si>
    <t>GI Hot-dip galvanised cable ladder, 300mm × 100mm side rail (horizontal at each floor riser→SMDB), c/w supports, brackets, bends, tees, fixings.</t>
  </si>
  <si>
    <t>E1.3</t>
  </si>
  <si>
    <t>GI perforated cable tray, 200mm × 50mm (corridor distribution 1F–8F), c/w supports, brackets, bends, tees, fixings.</t>
  </si>
  <si>
    <t>E1.4</t>
  </si>
  <si>
    <t>GI perforated cable tray, 100mm × 50mm (branch distribution to DBs), c/w supports, brackets, bends, tees, fixings.</t>
  </si>
  <si>
    <t>E1.5</t>
  </si>
  <si>
    <t>GI perforated cable tray, 200mm × 50mm (Ground floor retail/common), c/w supports, brackets, bends, tees, fixings.</t>
  </si>
  <si>
    <t>E1.6</t>
  </si>
  <si>
    <t>GI perforated cable tray, 300mm × 75mm (Roof mechanical), c/w supports, brackets, bends, tees, fixings.</t>
  </si>
  <si>
    <t>E1.7</t>
  </si>
  <si>
    <t>25mm uPVC conduit c/w draw wire, saddles, junction boxes, c/w supports, brackets, bends, tees, fixings.</t>
  </si>
  <si>
    <t>E1.8</t>
  </si>
  <si>
    <t>32mm uPVC conduit (cable tray to SMDB at each floor), c/w supports, brackets, bends, tees, fixings.</t>
  </si>
  <si>
    <t>E1.9</t>
  </si>
  <si>
    <t>20mm uPVC conduit (final-circuit drops to outlets), c/w supports, brackets, bends, tees, fixings.</t>
  </si>
  <si>
    <t>E1.10</t>
  </si>
  <si>
    <t>25mm GI rigid conduit — fire-rated for emergency cable routes (staircase wells, fire shafts), c/w supports, brackets, bends, tees, fixings.</t>
  </si>
  <si>
    <t>Sub-Total E1</t>
  </si>
  <si>
    <t>SECTION E — TOTAL</t>
  </si>
  <si>
    <t>BILL OF QUANTITIES — SUMMARY</t>
  </si>
  <si>
    <t>Proposed B+G+8+R Commercial &amp; Residential Building | Plot 6731315, Al Barsha South Third, Dubai, UAE | FA_P379 / CRs B/010/25</t>
  </si>
  <si>
    <t>Sub-Total (AED)</t>
  </si>
  <si>
    <t>Notes</t>
  </si>
  <si>
    <t>LV panels, ATS, gen, SMDBs</t>
  </si>
  <si>
    <t>Apt + comm + retail + emerg</t>
  </si>
  <si>
    <t>LV Power Cables — Main &amp; Rising Mains (LV→SMDB)</t>
  </si>
  <si>
    <t>XLPE/SWA + Fire-Rated + ECC</t>
  </si>
  <si>
    <t>LV Power Cables — Distribution (SMDB→DB)</t>
  </si>
  <si>
    <t>Distribution cables + bulk</t>
  </si>
  <si>
    <t>GI ladder, tray, conduit</t>
  </si>
  <si>
    <t>Earth pits, MEB, conductors</t>
  </si>
  <si>
    <t>Sundries, Accessories &amp; T&amp;C</t>
  </si>
  <si>
    <t>Labels, fire stop, T&amp;C, DEWA</t>
  </si>
  <si>
    <t>SUB-TOTAL (Sections A–G)</t>
  </si>
  <si>
    <t>Contingency (10%)</t>
  </si>
  <si>
    <t>VAT (5%)</t>
  </si>
  <si>
    <t>GRAND TOTAL (incl. Contingency &amp; VAT)</t>
  </si>
  <si>
    <t>INSTRUCTIONS: Enter unit rates (AED) in column F of each section sheet. Per-row Amounts and section totals roll up here automatically.</t>
  </si>
  <si>
    <t>BILL OF QUANTITIES — SECTION F: EARTHING &amp; BONDING</t>
  </si>
  <si>
    <t>F1 — MAIN EARTHING SYSTEM</t>
  </si>
  <si>
    <t>F1.1</t>
  </si>
  <si>
    <t>Main earth bar (MEB) in LV room — 50×6mm copper busbar, drilled and labelled, c/w insulators and fixing</t>
  </si>
  <si>
    <t>F1.2</t>
  </si>
  <si>
    <t>Earth pit (BS 7430 / DEWA) — 1200mm copper-bonded steel earth rod, inspection chamber, backfill, conductor clamp. Test &lt; 1 Ω</t>
  </si>
  <si>
    <t>F1.3</t>
  </si>
  <si>
    <t>1C × 95mm² bare copper earth conductor — MEB to earth pits and DEWA earth terminal</t>
  </si>
  <si>
    <t>F1.4</t>
  </si>
  <si>
    <t>1C × 50mm² green/yellow PVC earth conductor — MEB to structural steel bonding points, water/gas entry</t>
  </si>
  <si>
    <t>F1.5</t>
  </si>
  <si>
    <t>1C × 35mm² green/yellow XLPE earth conductor — MEB to sub-earth bar at each SMDB</t>
  </si>
  <si>
    <t>F1.6</t>
  </si>
  <si>
    <t>1C × 10mm² green/yellow PVC earth conductor — SMDB earth bar to each DB on residential floors</t>
  </si>
  <si>
    <t>F1.7</t>
  </si>
  <si>
    <t>Supplementary bonding conductor 4mm² — pipework, trays, equipment frames (provisional)</t>
  </si>
  <si>
    <t>Sub-Total F1</t>
  </si>
  <si>
    <t>SECTION F — TOTAL</t>
  </si>
  <si>
    <t>BILL OF QUANTITIES — SECTION G: SUNDRIES, ACCESSORIES &amp; TESTING/COMMISSIONING</t>
  </si>
  <si>
    <t>G1 — ACCESSORIES &amp; SUNDRIES</t>
  </si>
  <si>
    <t>G1.1</t>
  </si>
  <si>
    <t>Cable identification labels — self-adhesive ferrules at both ends. Include as-installed labelling matching cable schedule.</t>
  </si>
  <si>
    <t>—</t>
  </si>
  <si>
    <t>G1.2</t>
  </si>
  <si>
    <t>Cable cleats and ties — stainless steel, max 400mm spacing on vertical runs and 900mm on horizontal.</t>
  </si>
  <si>
    <t>G1.3</t>
  </si>
  <si>
    <t>Fire stopping — intumescent compounds, collars, pillows at all cable penetrations through fire-rated walls/slabs/risers. Restore fire rating.</t>
  </si>
  <si>
    <t>G1.4</t>
  </si>
  <si>
    <t>Smoke / fire barriers at all electrical-riser floor penetrations — proprietary fire-rated barrier system. Allow per floor.</t>
  </si>
  <si>
    <t>G1.5</t>
  </si>
  <si>
    <t>Temporary power supply during construction — provisional sum.</t>
  </si>
  <si>
    <t>Sum</t>
  </si>
  <si>
    <t>Sub-Total G1</t>
  </si>
  <si>
    <t>G2 — TESTING &amp; COMMISSIONING</t>
  </si>
  <si>
    <t>G2.1</t>
  </si>
  <si>
    <t>Insulation resistance testing (500V Megger) of all LV cables. Report included.</t>
  </si>
  <si>
    <t>DEWA/IEC</t>
  </si>
  <si>
    <t>G2.2</t>
  </si>
  <si>
    <t>Continuity and polarity testing of all circuits.</t>
  </si>
  <si>
    <t>G2.3</t>
  </si>
  <si>
    <t>Earth fault loop impedance testing at all boards.</t>
  </si>
  <si>
    <t>G2.4</t>
  </si>
  <si>
    <t>RCD testing at all RCD-protected circuits.</t>
  </si>
  <si>
    <t>G2.5</t>
  </si>
  <si>
    <t>ATS changeover testing — simulate mains failure, verify auto-switchover. Include full load test.</t>
  </si>
  <si>
    <t>G2.6</t>
  </si>
  <si>
    <t>Power factor correction verification — record PF before/after capacitor bank energisation.</t>
  </si>
  <si>
    <t>G2.7</t>
  </si>
  <si>
    <t>Full DEWA inspection and approval — application fees, inspections, rectifications until final approval. Provisional sum.</t>
  </si>
  <si>
    <t>G2.8</t>
  </si>
  <si>
    <t>As-built drawings (AutoCAD + PDF) and O&amp;M Manuals — full set for LV distribution system.</t>
  </si>
  <si>
    <t>Sub-Total G2</t>
  </si>
  <si>
    <t>SECTION G —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</si>
</sst>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sz val="10"/>
      <name val="Arial"/>
    </font>
    <font>
      <b/>
      <sz val="10"/>
      <name val="Arial"/>
    </font>
    <font>
      <sz val="10"/>
      <name val="Arial"/>
    </font>
    <font>
      <i/>
      <color rgb="FF7F4F00"/>
      <sz val="9"/>
      <name val="Arial"/>
    </font>
    <font>
      <i/>
      <sz val="9"/>
    </font>
    <font>
      <i/>
      <sz val="9"/>
      <name val="Arial"/>
    </font>
    <font>
      <b/>
      <color rgb="FFFFFFFF"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E699"/>
      </patternFill>
    </fill>
    <fill>
      <patternFill patternType="solid">
        <fgColor rgb="FFC00000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right" vertical="center"/>
    </xf>
    <xf numFmtId="4" fontId="8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/>
    </xf>
    <xf numFmtId="4" fontId="8" fillId="2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FormatPr defaultRowHeight="15" outlineLevelRow="0" outlineLevelCol="0" x14ac:dyDescent="55"/>
  <cols>
    <col min="1" max="1" width="3" customWidth="1"/>
    <col min="2" max="2" width="14" customWidth="1"/>
    <col min="3" max="3" width="50" customWidth="1"/>
    <col min="4" max="7" width="5" customWidth="1"/>
    <col min="8" max="8" width="20" customWidth="1"/>
    <col min="9" max="9" width="3" customWidth="1"/>
  </cols>
  <sheetData>
    <row r="1" spans="1:1" x14ac:dyDescent="0.25"/>
    <row r="2" ht="26" customHeight="1" spans="1:8" x14ac:dyDescent="0.25">
      <c r="B2" s="1" t="s">
        <v>0</v>
      </c>
      <c r="C2"/>
      <c r="D2"/>
      <c r="E2"/>
      <c r="F2"/>
      <c r="G2"/>
      <c r="H2"/>
    </row>
    <row r="3" ht="26" customHeight="1" spans="1:8" x14ac:dyDescent="0.25">
      <c r="B3"/>
      <c r="C3"/>
      <c r="D3"/>
      <c r="E3"/>
      <c r="F3"/>
      <c r="G3"/>
      <c r="H3"/>
    </row>
    <row r="4" ht="22" customHeight="1" spans="1:8" x14ac:dyDescent="0.25">
      <c r="B4" s="2" t="s">
        <v>1</v>
      </c>
      <c r="C4"/>
      <c r="D4"/>
      <c r="E4"/>
      <c r="F4"/>
      <c r="G4"/>
      <c r="H4"/>
    </row>
    <row r="5" ht="22" customHeight="1" spans="1:8" x14ac:dyDescent="0.25">
      <c r="B5"/>
      <c r="C5"/>
      <c r="D5"/>
      <c r="E5"/>
      <c r="F5"/>
      <c r="G5"/>
      <c r="H5"/>
    </row>
    <row r="6" spans="1:1" x14ac:dyDescent="0.25"/>
    <row r="7" spans="1:8" x14ac:dyDescent="0.25">
      <c r="B7" s="3" t="s">
        <v>2</v>
      </c>
      <c r="C7" s="4" t="s">
        <v>3</v>
      </c>
      <c r="D7"/>
      <c r="E7"/>
      <c r="F7"/>
      <c r="G7"/>
      <c r="H7"/>
    </row>
    <row r="8" spans="1:8" x14ac:dyDescent="0.25">
      <c r="B8" s="3" t="s">
        <v>4</v>
      </c>
      <c r="C8" s="4" t="s">
        <v>5</v>
      </c>
      <c r="D8"/>
      <c r="E8"/>
      <c r="F8"/>
      <c r="G8"/>
      <c r="H8"/>
    </row>
    <row r="9" spans="1:8" x14ac:dyDescent="0.25">
      <c r="B9" s="3" t="s">
        <v>6</v>
      </c>
      <c r="C9" s="4" t="s">
        <v>7</v>
      </c>
      <c r="D9"/>
      <c r="E9"/>
      <c r="F9"/>
      <c r="G9"/>
      <c r="H9"/>
    </row>
    <row r="10" spans="1:8" x14ac:dyDescent="0.25">
      <c r="B10" s="3" t="s">
        <v>8</v>
      </c>
      <c r="C10" s="4" t="s">
        <v>9</v>
      </c>
      <c r="D10"/>
      <c r="E10"/>
      <c r="F10"/>
      <c r="G10"/>
      <c r="H10"/>
    </row>
    <row r="11" spans="1:8" x14ac:dyDescent="0.25">
      <c r="B11" s="3" t="s">
        <v>10</v>
      </c>
      <c r="C11" s="4" t="s">
        <v>11</v>
      </c>
      <c r="D11"/>
      <c r="E11"/>
      <c r="F11"/>
      <c r="G11"/>
      <c r="H11"/>
    </row>
    <row r="12" spans="1:8" x14ac:dyDescent="0.25">
      <c r="B12" s="3" t="s">
        <v>12</v>
      </c>
      <c r="C12" s="4" t="s">
        <v>13</v>
      </c>
      <c r="D12"/>
      <c r="E12"/>
      <c r="F12"/>
      <c r="G12"/>
      <c r="H12"/>
    </row>
    <row r="13" spans="1:8" x14ac:dyDescent="0.25">
      <c r="B13" s="3" t="s">
        <v>14</v>
      </c>
      <c r="C13" s="4" t="s">
        <v>15</v>
      </c>
      <c r="D13"/>
      <c r="E13"/>
      <c r="F13"/>
      <c r="G13"/>
      <c r="H13"/>
    </row>
    <row r="14" spans="1:8" x14ac:dyDescent="0.25">
      <c r="B14" s="3" t="s">
        <v>16</v>
      </c>
      <c r="C14" s="4" t="s">
        <v>17</v>
      </c>
      <c r="D14"/>
      <c r="E14"/>
      <c r="F14"/>
      <c r="G14"/>
      <c r="H14"/>
    </row>
    <row r="15" spans="1:8" x14ac:dyDescent="0.25">
      <c r="B15" s="3" t="s">
        <v>18</v>
      </c>
      <c r="C15" s="4" t="s">
        <v>19</v>
      </c>
      <c r="D15"/>
      <c r="E15"/>
      <c r="F15"/>
      <c r="G15"/>
      <c r="H15"/>
    </row>
    <row r="16" spans="1:8" x14ac:dyDescent="0.25">
      <c r="B16" s="3" t="s">
        <v>20</v>
      </c>
      <c r="C16" s="4" t="s">
        <v>21</v>
      </c>
      <c r="D16"/>
      <c r="E16"/>
      <c r="F16"/>
      <c r="G16"/>
      <c r="H16"/>
    </row>
    <row r="17" spans="1:8" x14ac:dyDescent="0.25">
      <c r="B17" s="3" t="s">
        <v>22</v>
      </c>
      <c r="C17" s="4" t="s">
        <v>23</v>
      </c>
      <c r="D17"/>
      <c r="E17"/>
      <c r="F17"/>
      <c r="G17"/>
      <c r="H17"/>
    </row>
    <row r="18" spans="1:8" x14ac:dyDescent="0.25">
      <c r="B18" s="3" t="s">
        <v>24</v>
      </c>
      <c r="C18" s="4" t="s">
        <v>25</v>
      </c>
      <c r="D18"/>
      <c r="E18"/>
      <c r="F18"/>
      <c r="G18"/>
      <c r="H18"/>
    </row>
    <row r="19" spans="1:1" x14ac:dyDescent="0.25"/>
    <row r="20" spans="1:8" x14ac:dyDescent="0.25">
      <c r="B20" s="5" t="s">
        <v>26</v>
      </c>
      <c r="C20"/>
      <c r="D20"/>
      <c r="E20"/>
      <c r="F20"/>
      <c r="G20"/>
      <c r="H20"/>
    </row>
    <row r="21" spans="1:8" x14ac:dyDescent="0.25">
      <c r="B21" s="3" t="s">
        <v>27</v>
      </c>
      <c r="C21" s="4" t="s">
        <v>28</v>
      </c>
      <c r="D21"/>
      <c r="E21"/>
      <c r="F21"/>
      <c r="G21"/>
      <c r="H21"/>
    </row>
    <row r="22" spans="1:8" x14ac:dyDescent="0.25">
      <c r="B22" s="3" t="s">
        <v>29</v>
      </c>
      <c r="C22" s="4" t="s">
        <v>30</v>
      </c>
      <c r="D22"/>
      <c r="E22"/>
      <c r="F22"/>
      <c r="G22"/>
      <c r="H22"/>
    </row>
    <row r="23" spans="1:8" x14ac:dyDescent="0.25">
      <c r="B23" s="3" t="s">
        <v>31</v>
      </c>
      <c r="C23" s="4" t="s">
        <v>32</v>
      </c>
      <c r="D23"/>
      <c r="E23"/>
      <c r="F23"/>
      <c r="G23"/>
      <c r="H23"/>
    </row>
    <row r="24" spans="1:1" x14ac:dyDescent="0.25"/>
    <row r="25" spans="1:8" x14ac:dyDescent="0.25">
      <c r="B25" s="5" t="s">
        <v>33</v>
      </c>
      <c r="C25"/>
      <c r="D25"/>
      <c r="E25"/>
      <c r="F25"/>
      <c r="G25"/>
      <c r="H25"/>
    </row>
    <row r="26" spans="1:8" x14ac:dyDescent="0.25">
      <c r="B26" s="6" t="s">
        <v>34</v>
      </c>
      <c r="C26" s="6" t="s">
        <v>35</v>
      </c>
      <c r="D26"/>
      <c r="E26"/>
      <c r="F26"/>
      <c r="G26"/>
      <c r="H26" s="6" t="s">
        <v>36</v>
      </c>
    </row>
    <row r="27" spans="1:8" x14ac:dyDescent="0.25">
      <c r="B27" s="4" t="s">
        <v>37</v>
      </c>
      <c r="C27" s="4" t="s">
        <v>38</v>
      </c>
      <c r="D27"/>
      <c r="E27"/>
      <c r="F27"/>
      <c r="G27"/>
      <c r="H27" s="4" t="s">
        <v>39</v>
      </c>
    </row>
    <row r="28" spans="1:8" x14ac:dyDescent="0.25">
      <c r="B28" s="4" t="s">
        <v>40</v>
      </c>
      <c r="C28" s="4" t="s">
        <v>41</v>
      </c>
      <c r="D28"/>
      <c r="E28"/>
      <c r="F28"/>
      <c r="G28"/>
      <c r="H28" s="4" t="s">
        <v>42</v>
      </c>
    </row>
    <row r="29" spans="1:8" x14ac:dyDescent="0.25">
      <c r="B29" s="4" t="s">
        <v>43</v>
      </c>
      <c r="C29" s="4" t="s">
        <v>44</v>
      </c>
      <c r="D29"/>
      <c r="E29"/>
      <c r="F29"/>
      <c r="G29"/>
      <c r="H29" s="4" t="s">
        <v>45</v>
      </c>
    </row>
    <row r="30" spans="1:8" x14ac:dyDescent="0.25">
      <c r="B30" s="4" t="s">
        <v>46</v>
      </c>
      <c r="C30" s="4" t="s">
        <v>47</v>
      </c>
      <c r="D30"/>
      <c r="E30"/>
      <c r="F30"/>
      <c r="G30"/>
      <c r="H30" s="4" t="s">
        <v>48</v>
      </c>
    </row>
    <row r="31" spans="1:8" x14ac:dyDescent="0.25">
      <c r="B31" s="4" t="s">
        <v>49</v>
      </c>
      <c r="C31" s="4" t="s">
        <v>50</v>
      </c>
      <c r="D31"/>
      <c r="E31"/>
      <c r="F31"/>
      <c r="G31"/>
      <c r="H31" s="4" t="s">
        <v>51</v>
      </c>
    </row>
    <row r="32" spans="1:8" x14ac:dyDescent="0.25">
      <c r="B32" s="4" t="s">
        <v>52</v>
      </c>
      <c r="C32" s="4" t="s">
        <v>53</v>
      </c>
      <c r="D32"/>
      <c r="E32"/>
      <c r="F32"/>
      <c r="G32"/>
      <c r="H32" s="4" t="s">
        <v>54</v>
      </c>
    </row>
    <row r="33" spans="1:8" x14ac:dyDescent="0.25">
      <c r="B33" s="4" t="s">
        <v>55</v>
      </c>
      <c r="C33" s="4" t="s">
        <v>56</v>
      </c>
      <c r="D33"/>
      <c r="E33"/>
      <c r="F33"/>
      <c r="G33"/>
      <c r="H33" s="4" t="s">
        <v>57</v>
      </c>
    </row>
    <row r="34" spans="1:1" x14ac:dyDescent="0.25"/>
    <row r="35" spans="1:8" x14ac:dyDescent="0.25">
      <c r="B35" s="5" t="s">
        <v>58</v>
      </c>
      <c r="C35"/>
      <c r="D35"/>
      <c r="E35"/>
      <c r="F35"/>
      <c r="G35"/>
      <c r="H35"/>
    </row>
    <row r="36" ht="32" customHeight="1" spans="1:8" x14ac:dyDescent="0.25">
      <c r="B36" s="7" t="s">
        <v>59</v>
      </c>
      <c r="C36"/>
      <c r="D36"/>
      <c r="E36"/>
      <c r="F36"/>
      <c r="G36"/>
      <c r="H36"/>
    </row>
    <row r="37" ht="32" customHeight="1" spans="1:8" x14ac:dyDescent="0.25">
      <c r="B37" s="7" t="s">
        <v>60</v>
      </c>
      <c r="C37"/>
      <c r="D37"/>
      <c r="E37"/>
      <c r="F37"/>
      <c r="G37"/>
      <c r="H37"/>
    </row>
    <row r="38" ht="32" customHeight="1" spans="1:8" x14ac:dyDescent="0.25">
      <c r="B38" s="7" t="s">
        <v>61</v>
      </c>
      <c r="C38"/>
      <c r="D38"/>
      <c r="E38"/>
      <c r="F38"/>
      <c r="G38"/>
      <c r="H38"/>
    </row>
    <row r="39" ht="32" customHeight="1" spans="1:8" x14ac:dyDescent="0.25">
      <c r="B39" s="7" t="s">
        <v>62</v>
      </c>
      <c r="C39"/>
      <c r="D39"/>
      <c r="E39"/>
      <c r="F39"/>
      <c r="G39"/>
      <c r="H39"/>
    </row>
    <row r="40" ht="32" customHeight="1" spans="1:8" x14ac:dyDescent="0.25">
      <c r="B40" s="7" t="s">
        <v>63</v>
      </c>
      <c r="C40"/>
      <c r="D40"/>
      <c r="E40"/>
      <c r="F40"/>
      <c r="G40"/>
      <c r="H40"/>
    </row>
    <row r="41" spans="1:1" x14ac:dyDescent="0.25"/>
    <row r="42" ht="22" customHeight="1" spans="1:8" x14ac:dyDescent="0.25">
      <c r="B42" s="8" t="s">
        <v>64</v>
      </c>
      <c r="C42"/>
      <c r="D42"/>
      <c r="E42"/>
      <c r="F42"/>
      <c r="G42"/>
      <c r="H42"/>
    </row>
    <row r="43" ht="28" customHeight="1" spans="1:8" x14ac:dyDescent="0.25">
      <c r="B43" s="9" t="s">
        <v>65</v>
      </c>
      <c r="C43"/>
      <c r="D43"/>
      <c r="E43"/>
      <c r="F43"/>
      <c r="G43"/>
      <c r="H43"/>
    </row>
  </sheetData>
  <mergeCells count="35">
    <mergeCell ref="B2:H3"/>
    <mergeCell ref="B4:H5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  <mergeCell ref="C18:H18"/>
    <mergeCell ref="B20:H20"/>
    <mergeCell ref="C21:H21"/>
    <mergeCell ref="C22:H22"/>
    <mergeCell ref="C23:H23"/>
    <mergeCell ref="B25:H25"/>
    <mergeCell ref="C26:G26"/>
    <mergeCell ref="C27:G27"/>
    <mergeCell ref="C28:G28"/>
    <mergeCell ref="C29:G29"/>
    <mergeCell ref="C30:G30"/>
    <mergeCell ref="C31:G31"/>
    <mergeCell ref="C32:G32"/>
    <mergeCell ref="C33:G33"/>
    <mergeCell ref="B35:H35"/>
    <mergeCell ref="B36:H36"/>
    <mergeCell ref="B37:H37"/>
    <mergeCell ref="B38:H38"/>
    <mergeCell ref="B39:H39"/>
    <mergeCell ref="B40:H40"/>
    <mergeCell ref="B42:H42"/>
    <mergeCell ref="B43:H43"/>
  </mergeCells>
  <printOptions horizontalCentered="1"/>
  <pageMargins left="0.4" right="0.4" top="0.5" bottom="0.5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7" customWidth="1"/>
    <col min="2" max="2" width="55" customWidth="1"/>
    <col min="3" max="3" width="18" customWidth="1"/>
    <col min="4" max="5" width="8" customWidth="1"/>
    <col min="6" max="6" width="14" customWidth="1"/>
    <col min="7" max="7" width="16" customWidth="1"/>
    <col min="8" max="8" width="30" customWidth="1"/>
  </cols>
  <sheetData>
    <row r="1" ht="27.75" customHeight="1" spans="1:8" x14ac:dyDescent="0.25">
      <c r="A1" s="1" t="s">
        <v>66</v>
      </c>
      <c r="B1"/>
      <c r="C1"/>
      <c r="D1"/>
      <c r="E1"/>
      <c r="F1"/>
      <c r="G1"/>
      <c r="H1"/>
    </row>
    <row r="2" ht="13.5" customHeight="1" spans="1:8" x14ac:dyDescent="0.25">
      <c r="A2" s="10" t="s">
        <v>67</v>
      </c>
      <c r="B2"/>
      <c r="C2"/>
      <c r="D2"/>
      <c r="E2"/>
      <c r="F2"/>
      <c r="G2"/>
      <c r="H2"/>
    </row>
    <row r="3" ht="27.75" customHeight="1" spans="1:8" x14ac:dyDescent="0.25">
      <c r="A3" s="6" t="s">
        <v>68</v>
      </c>
      <c r="B3" s="6" t="s">
        <v>35</v>
      </c>
      <c r="C3" s="6" t="s">
        <v>69</v>
      </c>
      <c r="D3" s="6" t="s">
        <v>70</v>
      </c>
      <c r="E3" s="6" t="s">
        <v>71</v>
      </c>
      <c r="F3" s="6" t="s">
        <v>72</v>
      </c>
      <c r="G3" s="6" t="s">
        <v>73</v>
      </c>
      <c r="H3" s="6" t="s">
        <v>74</v>
      </c>
    </row>
    <row r="4" ht="19.5" customHeight="1" spans="1:8" x14ac:dyDescent="0.25">
      <c r="A4" s="5" t="s">
        <v>75</v>
      </c>
      <c r="B4"/>
      <c r="C4"/>
      <c r="D4"/>
      <c r="E4"/>
      <c r="F4"/>
      <c r="G4"/>
      <c r="H4"/>
    </row>
    <row r="5" ht="57" customHeight="1" spans="1:8" x14ac:dyDescent="0.25">
      <c r="A5" s="11" t="s">
        <v>76</v>
      </c>
      <c r="B5" s="4" t="s">
        <v>77</v>
      </c>
      <c r="C5" s="4" t="s">
        <v>78</v>
      </c>
      <c r="D5" s="12" t="s">
        <v>79</v>
      </c>
      <c r="E5" s="13">
        <v>1</v>
      </c>
      <c r="F5" s="13">
        <v>600000</v>
      </c>
      <c r="G5" s="13">
        <f>IF(OR(E5="",F5=""),"",E5*F5)</f>
      </c>
      <c r="H5" s="4" t="s">
        <v>80</v>
      </c>
    </row>
    <row r="6" ht="18" customHeight="1" spans="1:8" x14ac:dyDescent="0.25">
      <c r="A6" s="14" t="s">
        <v>81</v>
      </c>
      <c r="B6" s="15" t="s">
        <v>82</v>
      </c>
      <c r="C6" s="15" t="s">
        <v>83</v>
      </c>
      <c r="D6" s="16" t="s">
        <v>79</v>
      </c>
      <c r="E6" s="17">
        <v>1</v>
      </c>
      <c r="F6" s="17">
        <v>78750</v>
      </c>
      <c r="G6" s="17">
        <f>IF(OR(E6="",F6=""),"",E6*F6)</f>
      </c>
      <c r="H6" s="15" t="s">
        <v>84</v>
      </c>
    </row>
    <row r="7" ht="70" customHeight="1" spans="1:8" x14ac:dyDescent="0.25">
      <c r="A7" s="11" t="s">
        <v>85</v>
      </c>
      <c r="B7" s="4" t="s">
        <v>86</v>
      </c>
      <c r="C7" s="4" t="s">
        <v>78</v>
      </c>
      <c r="D7" s="12" t="s">
        <v>79</v>
      </c>
      <c r="E7" s="13">
        <v>1</v>
      </c>
      <c r="F7" s="13">
        <v>450000</v>
      </c>
      <c r="G7" s="13">
        <f>IF(OR(E7="",F7=""),"",E7*F7)</f>
      </c>
      <c r="H7" s="4" t="s">
        <v>87</v>
      </c>
    </row>
    <row r="8" ht="18" customHeight="1" spans="1:8" x14ac:dyDescent="0.25">
      <c r="A8" s="14" t="s">
        <v>88</v>
      </c>
      <c r="B8" s="15" t="s">
        <v>89</v>
      </c>
      <c r="C8" s="15" t="s">
        <v>83</v>
      </c>
      <c r="D8" s="16" t="s">
        <v>79</v>
      </c>
      <c r="E8" s="17">
        <v>1</v>
      </c>
      <c r="F8" s="17">
        <v>57750</v>
      </c>
      <c r="G8" s="17">
        <f>IF(OR(E8="",F8=""),"",E8*F8)</f>
      </c>
      <c r="H8" s="15" t="s">
        <v>90</v>
      </c>
    </row>
    <row r="9" ht="44" customHeight="1" spans="1:8" x14ac:dyDescent="0.25">
      <c r="A9" s="11" t="s">
        <v>91</v>
      </c>
      <c r="B9" s="4" t="s">
        <v>92</v>
      </c>
      <c r="C9" s="4" t="s">
        <v>83</v>
      </c>
      <c r="D9" s="12" t="s">
        <v>79</v>
      </c>
      <c r="E9" s="13">
        <v>1</v>
      </c>
      <c r="F9" s="13">
        <v>80000</v>
      </c>
      <c r="G9" s="13">
        <f>IF(OR(E9="",F9=""),"",E9*F9)</f>
      </c>
      <c r="H9" s="4" t="s">
        <v>93</v>
      </c>
    </row>
    <row r="10" ht="57" customHeight="1" spans="1:8" x14ac:dyDescent="0.25">
      <c r="A10" s="14" t="s">
        <v>94</v>
      </c>
      <c r="B10" s="15" t="s">
        <v>95</v>
      </c>
      <c r="C10" s="15" t="s">
        <v>83</v>
      </c>
      <c r="D10" s="16" t="s">
        <v>79</v>
      </c>
      <c r="E10" s="17">
        <v>1</v>
      </c>
      <c r="F10" s="17">
        <v>255000</v>
      </c>
      <c r="G10" s="17">
        <f>IF(OR(E10="",F10=""),"",E10*F10)</f>
      </c>
      <c r="H10" s="15" t="s">
        <v>96</v>
      </c>
    </row>
    <row r="11" ht="19.5" customHeight="1" spans="1:8" x14ac:dyDescent="0.25">
      <c r="A11" s="18" t="s">
        <v>97</v>
      </c>
      <c r="B11"/>
      <c r="C11"/>
      <c r="D11"/>
      <c r="E11"/>
      <c r="F11"/>
      <c r="G11" s="19">
        <f>SUM(G5:G10)</f>
      </c>
      <c r="H11" s="18" t="s">
        <v>98</v>
      </c>
    </row>
    <row r="12" spans="1:1" x14ac:dyDescent="0.25"/>
    <row r="13" ht="19.5" customHeight="1" spans="1:8" x14ac:dyDescent="0.25">
      <c r="A13" s="5" t="s">
        <v>99</v>
      </c>
      <c r="B13"/>
      <c r="C13"/>
      <c r="D13"/>
      <c r="E13"/>
      <c r="F13"/>
      <c r="G13"/>
      <c r="H13"/>
    </row>
    <row r="14" ht="57" customHeight="1" spans="1:8" x14ac:dyDescent="0.25">
      <c r="A14" s="11" t="s">
        <v>100</v>
      </c>
      <c r="B14" s="4" t="s">
        <v>101</v>
      </c>
      <c r="C14" s="4" t="s">
        <v>83</v>
      </c>
      <c r="D14" s="12" t="s">
        <v>79</v>
      </c>
      <c r="E14" s="13">
        <v>1</v>
      </c>
      <c r="F14" s="13">
        <v>32000</v>
      </c>
      <c r="G14" s="13">
        <f>IF(OR(E14="",F14=""),"",E14*F14)</f>
      </c>
      <c r="H14" s="4" t="s">
        <v>102</v>
      </c>
    </row>
    <row r="15" ht="57" customHeight="1" spans="1:8" x14ac:dyDescent="0.25">
      <c r="A15" s="14" t="s">
        <v>103</v>
      </c>
      <c r="B15" s="15" t="s">
        <v>104</v>
      </c>
      <c r="C15" s="15" t="s">
        <v>83</v>
      </c>
      <c r="D15" s="16" t="s">
        <v>79</v>
      </c>
      <c r="E15" s="17">
        <v>1</v>
      </c>
      <c r="F15" s="17">
        <v>32000</v>
      </c>
      <c r="G15" s="17">
        <f>IF(OR(E15="",F15=""),"",E15*F15)</f>
      </c>
      <c r="H15" s="15" t="s">
        <v>105</v>
      </c>
    </row>
    <row r="16" ht="57" customHeight="1" spans="1:8" x14ac:dyDescent="0.25">
      <c r="A16" s="11" t="s">
        <v>106</v>
      </c>
      <c r="B16" s="4" t="s">
        <v>107</v>
      </c>
      <c r="C16" s="4" t="s">
        <v>83</v>
      </c>
      <c r="D16" s="12" t="s">
        <v>79</v>
      </c>
      <c r="E16" s="13">
        <v>1</v>
      </c>
      <c r="F16" s="13">
        <v>32000</v>
      </c>
      <c r="G16" s="13">
        <f>IF(OR(E16="",F16=""),"",E16*F16)</f>
      </c>
      <c r="H16" s="4" t="s">
        <v>108</v>
      </c>
    </row>
    <row r="17" ht="57" customHeight="1" spans="1:8" x14ac:dyDescent="0.25">
      <c r="A17" s="14" t="s">
        <v>109</v>
      </c>
      <c r="B17" s="15" t="s">
        <v>110</v>
      </c>
      <c r="C17" s="15" t="s">
        <v>83</v>
      </c>
      <c r="D17" s="16" t="s">
        <v>79</v>
      </c>
      <c r="E17" s="17">
        <v>1</v>
      </c>
      <c r="F17" s="17">
        <v>32000</v>
      </c>
      <c r="G17" s="17">
        <f>IF(OR(E17="",F17=""),"",E17*F17)</f>
      </c>
      <c r="H17" s="15" t="s">
        <v>111</v>
      </c>
    </row>
    <row r="18" ht="57" customHeight="1" spans="1:8" x14ac:dyDescent="0.25">
      <c r="A18" s="11" t="s">
        <v>112</v>
      </c>
      <c r="B18" s="4" t="s">
        <v>113</v>
      </c>
      <c r="C18" s="4" t="s">
        <v>83</v>
      </c>
      <c r="D18" s="12" t="s">
        <v>79</v>
      </c>
      <c r="E18" s="13">
        <v>1</v>
      </c>
      <c r="F18" s="13">
        <v>32000</v>
      </c>
      <c r="G18" s="13">
        <f>IF(OR(E18="",F18=""),"",E18*F18)</f>
      </c>
      <c r="H18" s="4" t="s">
        <v>114</v>
      </c>
    </row>
    <row r="19" ht="57" customHeight="1" spans="1:8" x14ac:dyDescent="0.25">
      <c r="A19" s="14" t="s">
        <v>115</v>
      </c>
      <c r="B19" s="15" t="s">
        <v>116</v>
      </c>
      <c r="C19" s="15" t="s">
        <v>83</v>
      </c>
      <c r="D19" s="16" t="s">
        <v>79</v>
      </c>
      <c r="E19" s="17">
        <v>1</v>
      </c>
      <c r="F19" s="17">
        <v>32000</v>
      </c>
      <c r="G19" s="17">
        <f>IF(OR(E19="",F19=""),"",E19*F19)</f>
      </c>
      <c r="H19" s="15" t="s">
        <v>117</v>
      </c>
    </row>
    <row r="20" ht="57" customHeight="1" spans="1:8" x14ac:dyDescent="0.25">
      <c r="A20" s="11" t="s">
        <v>118</v>
      </c>
      <c r="B20" s="4" t="s">
        <v>119</v>
      </c>
      <c r="C20" s="4" t="s">
        <v>83</v>
      </c>
      <c r="D20" s="12" t="s">
        <v>79</v>
      </c>
      <c r="E20" s="13">
        <v>1</v>
      </c>
      <c r="F20" s="13">
        <v>32000</v>
      </c>
      <c r="G20" s="13">
        <f>IF(OR(E20="",F20=""),"",E20*F20)</f>
      </c>
      <c r="H20" s="4" t="s">
        <v>120</v>
      </c>
    </row>
    <row r="21" ht="57" customHeight="1" spans="1:8" x14ac:dyDescent="0.25">
      <c r="A21" s="14" t="s">
        <v>121</v>
      </c>
      <c r="B21" s="15" t="s">
        <v>122</v>
      </c>
      <c r="C21" s="15" t="s">
        <v>83</v>
      </c>
      <c r="D21" s="16" t="s">
        <v>79</v>
      </c>
      <c r="E21" s="17">
        <v>1</v>
      </c>
      <c r="F21" s="17">
        <v>32000</v>
      </c>
      <c r="G21" s="17">
        <f>IF(OR(E21="",F21=""),"",E21*F21)</f>
      </c>
      <c r="H21" s="15" t="s">
        <v>123</v>
      </c>
    </row>
    <row r="22" ht="19.5" customHeight="1" spans="1:8" x14ac:dyDescent="0.25">
      <c r="A22" s="18" t="s">
        <v>124</v>
      </c>
      <c r="B22"/>
      <c r="C22"/>
      <c r="D22"/>
      <c r="E22"/>
      <c r="F22"/>
      <c r="G22" s="19">
        <f>SUM(G14:G21)</f>
      </c>
      <c r="H22" s="18" t="s">
        <v>98</v>
      </c>
    </row>
    <row r="23" spans="1:1" x14ac:dyDescent="0.25"/>
    <row r="24" ht="19.5" customHeight="1" spans="1:8" x14ac:dyDescent="0.25">
      <c r="A24" s="5" t="s">
        <v>125</v>
      </c>
      <c r="B24"/>
      <c r="C24"/>
      <c r="D24"/>
      <c r="E24"/>
      <c r="F24"/>
      <c r="G24"/>
      <c r="H24"/>
    </row>
    <row r="25" ht="57" customHeight="1" spans="1:8" x14ac:dyDescent="0.25">
      <c r="A25" s="11" t="s">
        <v>126</v>
      </c>
      <c r="B25" s="4" t="s">
        <v>127</v>
      </c>
      <c r="C25" s="4" t="s">
        <v>83</v>
      </c>
      <c r="D25" s="12" t="s">
        <v>79</v>
      </c>
      <c r="E25" s="13">
        <v>4</v>
      </c>
      <c r="F25" s="13">
        <v>60000</v>
      </c>
      <c r="G25" s="13">
        <f>IF(OR(E25="",F25=""),"",E25*F25)</f>
      </c>
      <c r="H25" s="4" t="s">
        <v>128</v>
      </c>
    </row>
    <row r="26" ht="57" customHeight="1" spans="1:8" x14ac:dyDescent="0.25">
      <c r="A26" s="14" t="s">
        <v>129</v>
      </c>
      <c r="B26" s="15" t="s">
        <v>130</v>
      </c>
      <c r="C26" s="15" t="s">
        <v>83</v>
      </c>
      <c r="D26" s="16" t="s">
        <v>79</v>
      </c>
      <c r="E26" s="17">
        <v>4</v>
      </c>
      <c r="F26" s="17">
        <v>60000</v>
      </c>
      <c r="G26" s="17">
        <f>IF(OR(E26="",F26=""),"",E26*F26)</f>
      </c>
      <c r="H26" s="15" t="s">
        <v>131</v>
      </c>
    </row>
    <row r="27" ht="57" customHeight="1" spans="1:8" x14ac:dyDescent="0.25">
      <c r="A27" s="11" t="s">
        <v>132</v>
      </c>
      <c r="B27" s="4" t="s">
        <v>133</v>
      </c>
      <c r="C27" s="4" t="s">
        <v>83</v>
      </c>
      <c r="D27" s="12" t="s">
        <v>79</v>
      </c>
      <c r="E27" s="13">
        <v>1</v>
      </c>
      <c r="F27" s="13">
        <v>80000</v>
      </c>
      <c r="G27" s="13">
        <f>IF(OR(E27="",F27=""),"",E27*F27)</f>
      </c>
      <c r="H27" s="4" t="s">
        <v>134</v>
      </c>
    </row>
    <row r="28" ht="57" customHeight="1" spans="1:8" x14ac:dyDescent="0.25">
      <c r="A28" s="14" t="s">
        <v>135</v>
      </c>
      <c r="B28" s="15" t="s">
        <v>136</v>
      </c>
      <c r="C28" s="15" t="s">
        <v>83</v>
      </c>
      <c r="D28" s="16" t="s">
        <v>79</v>
      </c>
      <c r="E28" s="17">
        <v>1</v>
      </c>
      <c r="F28" s="17">
        <v>25000</v>
      </c>
      <c r="G28" s="17">
        <f>IF(OR(E28="",F28=""),"",E28*F28)</f>
      </c>
      <c r="H28" s="15" t="s">
        <v>137</v>
      </c>
    </row>
    <row r="29" ht="57" customHeight="1" spans="1:8" x14ac:dyDescent="0.25">
      <c r="A29" s="11" t="s">
        <v>138</v>
      </c>
      <c r="B29" s="4" t="s">
        <v>139</v>
      </c>
      <c r="C29" s="4" t="s">
        <v>83</v>
      </c>
      <c r="D29" s="12" t="s">
        <v>79</v>
      </c>
      <c r="E29" s="13">
        <v>1</v>
      </c>
      <c r="F29" s="13">
        <v>32000</v>
      </c>
      <c r="G29" s="13">
        <f>IF(OR(E29="",F29=""),"",E29*F29)</f>
      </c>
      <c r="H29" s="4" t="s">
        <v>140</v>
      </c>
    </row>
    <row r="30" ht="44" customHeight="1" spans="1:8" x14ac:dyDescent="0.25">
      <c r="A30" s="14" t="s">
        <v>141</v>
      </c>
      <c r="B30" s="15" t="s">
        <v>142</v>
      </c>
      <c r="C30" s="15" t="s">
        <v>83</v>
      </c>
      <c r="D30" s="16" t="s">
        <v>79</v>
      </c>
      <c r="E30" s="17">
        <v>1</v>
      </c>
      <c r="F30" s="17">
        <v>6000</v>
      </c>
      <c r="G30" s="17">
        <f>IF(OR(E30="",F30=""),"",E30*F30)</f>
      </c>
      <c r="H30" s="15" t="s">
        <v>143</v>
      </c>
    </row>
    <row r="31" ht="44" customHeight="1" spans="1:8" x14ac:dyDescent="0.25">
      <c r="A31" s="11" t="s">
        <v>144</v>
      </c>
      <c r="B31" s="4" t="s">
        <v>145</v>
      </c>
      <c r="C31" s="4" t="s">
        <v>83</v>
      </c>
      <c r="D31" s="12" t="s">
        <v>79</v>
      </c>
      <c r="E31" s="13">
        <v>1</v>
      </c>
      <c r="F31" s="13">
        <v>6000</v>
      </c>
      <c r="G31" s="13">
        <f>IF(OR(E31="",F31=""),"",E31*F31)</f>
      </c>
      <c r="H31" s="4" t="s">
        <v>143</v>
      </c>
    </row>
    <row r="32" ht="44" customHeight="1" spans="1:8" x14ac:dyDescent="0.25">
      <c r="A32" s="14" t="s">
        <v>146</v>
      </c>
      <c r="B32" s="15" t="s">
        <v>147</v>
      </c>
      <c r="C32" s="15" t="s">
        <v>83</v>
      </c>
      <c r="D32" s="16" t="s">
        <v>79</v>
      </c>
      <c r="E32" s="17">
        <v>1</v>
      </c>
      <c r="F32" s="17">
        <v>6000</v>
      </c>
      <c r="G32" s="17">
        <f>IF(OR(E32="",F32=""),"",E32*F32)</f>
      </c>
      <c r="H32" s="15" t="s">
        <v>143</v>
      </c>
    </row>
    <row r="33" ht="44" customHeight="1" spans="1:8" x14ac:dyDescent="0.25">
      <c r="A33" s="11" t="s">
        <v>148</v>
      </c>
      <c r="B33" s="4" t="s">
        <v>149</v>
      </c>
      <c r="C33" s="4" t="s">
        <v>83</v>
      </c>
      <c r="D33" s="12" t="s">
        <v>79</v>
      </c>
      <c r="E33" s="13">
        <v>1</v>
      </c>
      <c r="F33" s="13">
        <v>6000</v>
      </c>
      <c r="G33" s="13">
        <f>IF(OR(E33="",F33=""),"",E33*F33)</f>
      </c>
      <c r="H33" s="4" t="s">
        <v>143</v>
      </c>
    </row>
    <row r="34" ht="44" customHeight="1" spans="1:8" x14ac:dyDescent="0.25">
      <c r="A34" s="14" t="s">
        <v>150</v>
      </c>
      <c r="B34" s="15" t="s">
        <v>151</v>
      </c>
      <c r="C34" s="15" t="s">
        <v>83</v>
      </c>
      <c r="D34" s="16" t="s">
        <v>79</v>
      </c>
      <c r="E34" s="17">
        <v>1</v>
      </c>
      <c r="F34" s="17">
        <v>6000</v>
      </c>
      <c r="G34" s="17">
        <f>IF(OR(E34="",F34=""),"",E34*F34)</f>
      </c>
      <c r="H34" s="15" t="s">
        <v>152</v>
      </c>
    </row>
    <row r="35" ht="44" customHeight="1" spans="1:8" x14ac:dyDescent="0.25">
      <c r="A35" s="11" t="s">
        <v>153</v>
      </c>
      <c r="B35" s="4" t="s">
        <v>154</v>
      </c>
      <c r="C35" s="4" t="s">
        <v>83</v>
      </c>
      <c r="D35" s="12" t="s">
        <v>79</v>
      </c>
      <c r="E35" s="13">
        <v>1</v>
      </c>
      <c r="F35" s="13">
        <v>6000</v>
      </c>
      <c r="G35" s="13">
        <f>IF(OR(E35="",F35=""),"",E35*F35)</f>
      </c>
      <c r="H35" s="4" t="s">
        <v>155</v>
      </c>
    </row>
    <row r="36" ht="44" customHeight="1" spans="1:8" x14ac:dyDescent="0.25">
      <c r="A36" s="14" t="s">
        <v>156</v>
      </c>
      <c r="B36" s="15" t="s">
        <v>157</v>
      </c>
      <c r="C36" s="15" t="s">
        <v>83</v>
      </c>
      <c r="D36" s="16" t="s">
        <v>79</v>
      </c>
      <c r="E36" s="17">
        <v>1</v>
      </c>
      <c r="F36" s="17">
        <v>6000</v>
      </c>
      <c r="G36" s="17">
        <f>IF(OR(E36="",F36=""),"",E36*F36)</f>
      </c>
      <c r="H36" s="15" t="s">
        <v>155</v>
      </c>
    </row>
    <row r="37" ht="44" customHeight="1" spans="1:8" x14ac:dyDescent="0.25">
      <c r="A37" s="11" t="s">
        <v>158</v>
      </c>
      <c r="B37" s="4" t="s">
        <v>159</v>
      </c>
      <c r="C37" s="4" t="s">
        <v>83</v>
      </c>
      <c r="D37" s="12" t="s">
        <v>79</v>
      </c>
      <c r="E37" s="13">
        <v>1</v>
      </c>
      <c r="F37" s="13">
        <v>6000</v>
      </c>
      <c r="G37" s="13">
        <f>IF(OR(E37="",F37=""),"",E37*F37)</f>
      </c>
      <c r="H37" s="4" t="s">
        <v>160</v>
      </c>
    </row>
    <row r="38" ht="44" customHeight="1" spans="1:8" x14ac:dyDescent="0.25">
      <c r="A38" s="14" t="s">
        <v>161</v>
      </c>
      <c r="B38" s="15" t="s">
        <v>162</v>
      </c>
      <c r="C38" s="15" t="s">
        <v>83</v>
      </c>
      <c r="D38" s="16" t="s">
        <v>79</v>
      </c>
      <c r="E38" s="17">
        <v>1</v>
      </c>
      <c r="F38" s="17">
        <v>6000</v>
      </c>
      <c r="G38" s="17">
        <f>IF(OR(E38="",F38=""),"",E38*F38)</f>
      </c>
      <c r="H38" s="15" t="s">
        <v>155</v>
      </c>
    </row>
    <row r="39" ht="44" customHeight="1" spans="1:8" x14ac:dyDescent="0.25">
      <c r="A39" s="11" t="s">
        <v>163</v>
      </c>
      <c r="B39" s="4" t="s">
        <v>164</v>
      </c>
      <c r="C39" s="4" t="s">
        <v>83</v>
      </c>
      <c r="D39" s="12" t="s">
        <v>79</v>
      </c>
      <c r="E39" s="13">
        <v>1</v>
      </c>
      <c r="F39" s="13">
        <v>6000</v>
      </c>
      <c r="G39" s="13">
        <f>IF(OR(E39="",F39=""),"",E39*F39)</f>
      </c>
      <c r="H39" s="4" t="s">
        <v>143</v>
      </c>
    </row>
    <row r="40" ht="44" customHeight="1" spans="1:8" x14ac:dyDescent="0.25">
      <c r="A40" s="14" t="s">
        <v>165</v>
      </c>
      <c r="B40" s="15" t="s">
        <v>166</v>
      </c>
      <c r="C40" s="15" t="s">
        <v>83</v>
      </c>
      <c r="D40" s="16" t="s">
        <v>79</v>
      </c>
      <c r="E40" s="17">
        <v>1</v>
      </c>
      <c r="F40" s="17">
        <v>6000</v>
      </c>
      <c r="G40" s="17">
        <f>IF(OR(E40="",F40=""),"",E40*F40)</f>
      </c>
      <c r="H40" s="15" t="s">
        <v>143</v>
      </c>
    </row>
    <row r="41" ht="44" customHeight="1" spans="1:8" x14ac:dyDescent="0.25">
      <c r="A41" s="11" t="s">
        <v>167</v>
      </c>
      <c r="B41" s="4" t="s">
        <v>168</v>
      </c>
      <c r="C41" s="4" t="s">
        <v>83</v>
      </c>
      <c r="D41" s="12" t="s">
        <v>79</v>
      </c>
      <c r="E41" s="13">
        <v>1</v>
      </c>
      <c r="F41" s="13">
        <v>9000</v>
      </c>
      <c r="G41" s="13">
        <f>IF(OR(E41="",F41=""),"",E41*F41)</f>
      </c>
      <c r="H41" s="4" t="s">
        <v>169</v>
      </c>
    </row>
    <row r="42" ht="57" customHeight="1" spans="1:8" x14ac:dyDescent="0.25">
      <c r="A42" s="14" t="s">
        <v>170</v>
      </c>
      <c r="B42" s="15" t="s">
        <v>171</v>
      </c>
      <c r="C42" s="15" t="s">
        <v>83</v>
      </c>
      <c r="D42" s="16" t="s">
        <v>79</v>
      </c>
      <c r="E42" s="17">
        <v>1</v>
      </c>
      <c r="F42" s="17">
        <v>80000</v>
      </c>
      <c r="G42" s="17">
        <f>IF(OR(E42="",F42=""),"",E42*F42)</f>
      </c>
      <c r="H42" s="15" t="s">
        <v>172</v>
      </c>
    </row>
    <row r="43" ht="57" customHeight="1" spans="1:8" x14ac:dyDescent="0.25">
      <c r="A43" s="11" t="s">
        <v>173</v>
      </c>
      <c r="B43" s="4" t="s">
        <v>174</v>
      </c>
      <c r="C43" s="4" t="s">
        <v>83</v>
      </c>
      <c r="D43" s="12" t="s">
        <v>79</v>
      </c>
      <c r="E43" s="13">
        <v>1</v>
      </c>
      <c r="F43" s="13">
        <v>32000</v>
      </c>
      <c r="G43" s="13">
        <f>IF(OR(E43="",F43=""),"",E43*F43)</f>
      </c>
      <c r="H43" s="4" t="s">
        <v>175</v>
      </c>
    </row>
    <row r="44" ht="19.5" customHeight="1" spans="1:8" x14ac:dyDescent="0.25">
      <c r="A44" s="18" t="s">
        <v>176</v>
      </c>
      <c r="B44"/>
      <c r="C44"/>
      <c r="D44"/>
      <c r="E44"/>
      <c r="F44"/>
      <c r="G44" s="19">
        <f>SUM(G25:G43)</f>
      </c>
      <c r="H44" s="18" t="s">
        <v>98</v>
      </c>
    </row>
    <row r="45" spans="1:1" x14ac:dyDescent="0.25"/>
    <row r="46" spans="1:1" x14ac:dyDescent="0.25"/>
    <row r="47" ht="24" customHeight="1" spans="1:8" x14ac:dyDescent="0.25">
      <c r="A47" s="20" t="s">
        <v>177</v>
      </c>
      <c r="B47"/>
      <c r="C47"/>
      <c r="D47"/>
      <c r="E47"/>
      <c r="F47"/>
      <c r="G47" s="21">
        <f>SUMIF(G4:G45,"&lt;&gt;")</f>
      </c>
      <c r="H47" s="20" t="s">
        <v>98</v>
      </c>
    </row>
  </sheetData>
  <mergeCells count="9">
    <mergeCell ref="A1:H1"/>
    <mergeCell ref="A2:H2"/>
    <mergeCell ref="A4:H4"/>
    <mergeCell ref="A11:F11"/>
    <mergeCell ref="A13:H13"/>
    <mergeCell ref="A22:F22"/>
    <mergeCell ref="A24:H24"/>
    <mergeCell ref="A44:F44"/>
    <mergeCell ref="A47:F47"/>
  </mergeCells>
  <printOptions horizontalCentered="1"/>
  <pageMargins left="0.4" right="0.4" top="0.5" bottom="0.5" header="0.3" footer="0.3"/>
  <pageSetup paperSize="9" orientation="portrait" fitToWidth="1" fitToHeight="0"/>
  <headerFooter>
    <oddHeader>&amp;L&amp;"Arial,Bold"&amp;12Proposed B+G+8+R Commercial &amp; Residential Building&amp;R&amp;"Arial,Italic"&amp;10Job FA_P379 / CRs B/010/25</oddHeader>
    <oddFooter>&amp;LSection A — LV SWITCHGEAR &amp; SUB-MAIN DISTRIBUTION BOARDS&amp;RPage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7" customWidth="1"/>
    <col min="2" max="2" width="55" customWidth="1"/>
    <col min="3" max="3" width="18" customWidth="1"/>
    <col min="4" max="5" width="8" customWidth="1"/>
    <col min="6" max="6" width="14" customWidth="1"/>
    <col min="7" max="7" width="16" customWidth="1"/>
    <col min="8" max="8" width="30" customWidth="1"/>
  </cols>
  <sheetData>
    <row r="1" ht="27.75" customHeight="1" spans="1:8" x14ac:dyDescent="0.25">
      <c r="A1" s="1" t="s">
        <v>178</v>
      </c>
      <c r="B1"/>
      <c r="C1"/>
      <c r="D1"/>
      <c r="E1"/>
      <c r="F1"/>
      <c r="G1"/>
      <c r="H1"/>
    </row>
    <row r="2" ht="13.5" customHeight="1" spans="1:8" x14ac:dyDescent="0.25">
      <c r="A2" s="10" t="s">
        <v>67</v>
      </c>
      <c r="B2"/>
      <c r="C2"/>
      <c r="D2"/>
      <c r="E2"/>
      <c r="F2"/>
      <c r="G2"/>
      <c r="H2"/>
    </row>
    <row r="3" ht="27.75" customHeight="1" spans="1:8" x14ac:dyDescent="0.25">
      <c r="A3" s="6" t="s">
        <v>68</v>
      </c>
      <c r="B3" s="6" t="s">
        <v>35</v>
      </c>
      <c r="C3" s="6" t="s">
        <v>69</v>
      </c>
      <c r="D3" s="6" t="s">
        <v>70</v>
      </c>
      <c r="E3" s="6" t="s">
        <v>71</v>
      </c>
      <c r="F3" s="6" t="s">
        <v>72</v>
      </c>
      <c r="G3" s="6" t="s">
        <v>73</v>
      </c>
      <c r="H3" s="6" t="s">
        <v>74</v>
      </c>
    </row>
    <row r="4" ht="19.5" customHeight="1" spans="1:8" x14ac:dyDescent="0.25">
      <c r="A4" s="5" t="s">
        <v>179</v>
      </c>
      <c r="B4"/>
      <c r="C4"/>
      <c r="D4"/>
      <c r="E4"/>
      <c r="F4"/>
      <c r="G4"/>
      <c r="H4"/>
    </row>
    <row r="5" ht="44" customHeight="1" spans="1:8" x14ac:dyDescent="0.25">
      <c r="A5" s="11" t="s">
        <v>180</v>
      </c>
      <c r="B5" s="4" t="s">
        <v>181</v>
      </c>
      <c r="C5" s="4" t="s">
        <v>83</v>
      </c>
      <c r="D5" s="12" t="s">
        <v>79</v>
      </c>
      <c r="E5" s="13">
        <v>1</v>
      </c>
      <c r="F5" s="13">
        <v>32</v>
      </c>
      <c r="G5" s="13">
        <f>IF(OR(E5="",F5=""),"",E5*F5)</f>
      </c>
      <c r="H5" s="4" t="s">
        <v>182</v>
      </c>
    </row>
    <row r="6" ht="44" customHeight="1" spans="1:8" x14ac:dyDescent="0.25">
      <c r="A6" s="14" t="s">
        <v>183</v>
      </c>
      <c r="B6" s="15" t="s">
        <v>184</v>
      </c>
      <c r="C6" s="15" t="s">
        <v>83</v>
      </c>
      <c r="D6" s="16" t="s">
        <v>79</v>
      </c>
      <c r="E6" s="17">
        <v>1</v>
      </c>
      <c r="F6" s="17">
        <v>22</v>
      </c>
      <c r="G6" s="17">
        <f>IF(OR(E6="",F6=""),"",E6*F6)</f>
      </c>
      <c r="H6" s="15" t="s">
        <v>182</v>
      </c>
    </row>
    <row r="7" ht="44" customHeight="1" spans="1:8" x14ac:dyDescent="0.25">
      <c r="A7" s="11" t="s">
        <v>185</v>
      </c>
      <c r="B7" s="4" t="s">
        <v>186</v>
      </c>
      <c r="C7" s="4" t="s">
        <v>83</v>
      </c>
      <c r="D7" s="12" t="s">
        <v>79</v>
      </c>
      <c r="E7" s="13">
        <v>1</v>
      </c>
      <c r="F7" s="13">
        <v>22</v>
      </c>
      <c r="G7" s="13">
        <f>IF(OR(E7="",F7=""),"",E7*F7)</f>
      </c>
      <c r="H7" s="4" t="s">
        <v>182</v>
      </c>
    </row>
    <row r="8" ht="44" customHeight="1" spans="1:8" x14ac:dyDescent="0.25">
      <c r="A8" s="14" t="s">
        <v>187</v>
      </c>
      <c r="B8" s="15" t="s">
        <v>188</v>
      </c>
      <c r="C8" s="15" t="s">
        <v>83</v>
      </c>
      <c r="D8" s="16" t="s">
        <v>79</v>
      </c>
      <c r="E8" s="17">
        <v>1</v>
      </c>
      <c r="F8" s="17">
        <v>22</v>
      </c>
      <c r="G8" s="17">
        <f>IF(OR(E8="",F8=""),"",E8*F8)</f>
      </c>
      <c r="H8" s="15" t="s">
        <v>182</v>
      </c>
    </row>
    <row r="9" ht="44" customHeight="1" spans="1:8" x14ac:dyDescent="0.25">
      <c r="A9" s="11" t="s">
        <v>189</v>
      </c>
      <c r="B9" s="4" t="s">
        <v>190</v>
      </c>
      <c r="C9" s="4" t="s">
        <v>83</v>
      </c>
      <c r="D9" s="12" t="s">
        <v>79</v>
      </c>
      <c r="E9" s="13">
        <v>1</v>
      </c>
      <c r="F9" s="13">
        <v>22</v>
      </c>
      <c r="G9" s="13">
        <f>IF(OR(E9="",F9=""),"",E9*F9)</f>
      </c>
      <c r="H9" s="4" t="s">
        <v>191</v>
      </c>
    </row>
    <row r="10" ht="44" customHeight="1" spans="1:8" x14ac:dyDescent="0.25">
      <c r="A10" s="14" t="s">
        <v>192</v>
      </c>
      <c r="B10" s="15" t="s">
        <v>193</v>
      </c>
      <c r="C10" s="15" t="s">
        <v>83</v>
      </c>
      <c r="D10" s="16" t="s">
        <v>79</v>
      </c>
      <c r="E10" s="17">
        <v>1</v>
      </c>
      <c r="F10" s="17">
        <v>22</v>
      </c>
      <c r="G10" s="17">
        <f>IF(OR(E10="",F10=""),"",E10*F10)</f>
      </c>
      <c r="H10" s="15" t="s">
        <v>191</v>
      </c>
    </row>
    <row r="11" ht="44" customHeight="1" spans="1:8" x14ac:dyDescent="0.25">
      <c r="A11" s="11" t="s">
        <v>194</v>
      </c>
      <c r="B11" s="4" t="s">
        <v>195</v>
      </c>
      <c r="C11" s="4" t="s">
        <v>83</v>
      </c>
      <c r="D11" s="12" t="s">
        <v>79</v>
      </c>
      <c r="E11" s="13">
        <v>1</v>
      </c>
      <c r="F11" s="13">
        <v>12</v>
      </c>
      <c r="G11" s="13">
        <f>IF(OR(E11="",F11=""),"",E11*F11)</f>
      </c>
      <c r="H11" s="4" t="s">
        <v>191</v>
      </c>
    </row>
    <row r="12" ht="44" customHeight="1" spans="1:8" x14ac:dyDescent="0.25">
      <c r="A12" s="14" t="s">
        <v>196</v>
      </c>
      <c r="B12" s="15" t="s">
        <v>197</v>
      </c>
      <c r="C12" s="15" t="s">
        <v>83</v>
      </c>
      <c r="D12" s="16" t="s">
        <v>79</v>
      </c>
      <c r="E12" s="17">
        <v>1</v>
      </c>
      <c r="F12" s="17">
        <v>35</v>
      </c>
      <c r="G12" s="17">
        <f>IF(OR(E12="",F12=""),"",E12*F12)</f>
      </c>
      <c r="H12" s="15" t="s">
        <v>182</v>
      </c>
    </row>
    <row r="13" ht="44" customHeight="1" spans="1:8" x14ac:dyDescent="0.25">
      <c r="A13" s="11" t="s">
        <v>198</v>
      </c>
      <c r="B13" s="4" t="s">
        <v>199</v>
      </c>
      <c r="C13" s="4" t="s">
        <v>83</v>
      </c>
      <c r="D13" s="12" t="s">
        <v>79</v>
      </c>
      <c r="E13" s="13">
        <v>1</v>
      </c>
      <c r="F13" s="13">
        <v>22</v>
      </c>
      <c r="G13" s="13">
        <f>IF(OR(E13="",F13=""),"",E13*F13)</f>
      </c>
      <c r="H13" s="4" t="s">
        <v>200</v>
      </c>
    </row>
    <row r="14" ht="44" customHeight="1" spans="1:8" x14ac:dyDescent="0.25">
      <c r="A14" s="14" t="s">
        <v>201</v>
      </c>
      <c r="B14" s="15" t="s">
        <v>202</v>
      </c>
      <c r="C14" s="15" t="s">
        <v>83</v>
      </c>
      <c r="D14" s="16" t="s">
        <v>79</v>
      </c>
      <c r="E14" s="17">
        <v>1</v>
      </c>
      <c r="F14" s="17">
        <v>35</v>
      </c>
      <c r="G14" s="17">
        <f>IF(OR(E14="",F14=""),"",E14*F14)</f>
      </c>
      <c r="H14" s="15" t="s">
        <v>182</v>
      </c>
    </row>
    <row r="15" ht="44" customHeight="1" spans="1:8" x14ac:dyDescent="0.25">
      <c r="A15" s="11" t="s">
        <v>203</v>
      </c>
      <c r="B15" s="4" t="s">
        <v>204</v>
      </c>
      <c r="C15" s="4" t="s">
        <v>83</v>
      </c>
      <c r="D15" s="12" t="s">
        <v>79</v>
      </c>
      <c r="E15" s="13">
        <v>1</v>
      </c>
      <c r="F15" s="13">
        <v>35</v>
      </c>
      <c r="G15" s="13">
        <f>IF(OR(E15="",F15=""),"",E15*F15)</f>
      </c>
      <c r="H15" s="4" t="s">
        <v>205</v>
      </c>
    </row>
    <row r="16" ht="44" customHeight="1" spans="1:8" x14ac:dyDescent="0.25">
      <c r="A16" s="14" t="s">
        <v>206</v>
      </c>
      <c r="B16" s="15" t="s">
        <v>207</v>
      </c>
      <c r="C16" s="15" t="s">
        <v>83</v>
      </c>
      <c r="D16" s="16" t="s">
        <v>79</v>
      </c>
      <c r="E16" s="17">
        <v>1</v>
      </c>
      <c r="F16" s="17">
        <v>35</v>
      </c>
      <c r="G16" s="17">
        <f>IF(OR(E16="",F16=""),"",E16*F16)</f>
      </c>
      <c r="H16" s="15" t="s">
        <v>208</v>
      </c>
    </row>
    <row r="17" ht="44" customHeight="1" spans="1:8" x14ac:dyDescent="0.25">
      <c r="A17" s="11" t="s">
        <v>209</v>
      </c>
      <c r="B17" s="4" t="s">
        <v>210</v>
      </c>
      <c r="C17" s="4" t="s">
        <v>83</v>
      </c>
      <c r="D17" s="12" t="s">
        <v>79</v>
      </c>
      <c r="E17" s="13">
        <v>1</v>
      </c>
      <c r="F17" s="13">
        <v>35</v>
      </c>
      <c r="G17" s="13">
        <f>IF(OR(E17="",F17=""),"",E17*F17)</f>
      </c>
      <c r="H17" s="4" t="s">
        <v>211</v>
      </c>
    </row>
    <row r="18" ht="44" customHeight="1" spans="1:8" x14ac:dyDescent="0.25">
      <c r="A18" s="14" t="s">
        <v>212</v>
      </c>
      <c r="B18" s="15" t="s">
        <v>213</v>
      </c>
      <c r="C18" s="15" t="s">
        <v>83</v>
      </c>
      <c r="D18" s="16" t="s">
        <v>79</v>
      </c>
      <c r="E18" s="17">
        <v>1</v>
      </c>
      <c r="F18" s="17">
        <v>35</v>
      </c>
      <c r="G18" s="17">
        <f>IF(OR(E18="",F18=""),"",E18*F18)</f>
      </c>
      <c r="H18" s="15" t="s">
        <v>191</v>
      </c>
    </row>
    <row r="19" ht="44" customHeight="1" spans="1:8" x14ac:dyDescent="0.25">
      <c r="A19" s="11" t="s">
        <v>214</v>
      </c>
      <c r="B19" s="4" t="s">
        <v>215</v>
      </c>
      <c r="C19" s="4" t="s">
        <v>83</v>
      </c>
      <c r="D19" s="12" t="s">
        <v>79</v>
      </c>
      <c r="E19" s="13">
        <v>1</v>
      </c>
      <c r="F19" s="13">
        <v>32</v>
      </c>
      <c r="G19" s="13">
        <f>IF(OR(E19="",F19=""),"",E19*F19)</f>
      </c>
      <c r="H19" s="4" t="s">
        <v>216</v>
      </c>
    </row>
    <row r="20" ht="44" customHeight="1" spans="1:8" x14ac:dyDescent="0.25">
      <c r="A20" s="14" t="s">
        <v>217</v>
      </c>
      <c r="B20" s="15" t="s">
        <v>218</v>
      </c>
      <c r="C20" s="15" t="s">
        <v>83</v>
      </c>
      <c r="D20" s="16" t="s">
        <v>79</v>
      </c>
      <c r="E20" s="17">
        <v>1</v>
      </c>
      <c r="F20" s="17">
        <v>32</v>
      </c>
      <c r="G20" s="17">
        <f>IF(OR(E20="",F20=""),"",E20*F20)</f>
      </c>
      <c r="H20" s="15" t="s">
        <v>219</v>
      </c>
    </row>
    <row r="21" ht="44" customHeight="1" spans="1:8" x14ac:dyDescent="0.25">
      <c r="A21" s="11" t="s">
        <v>220</v>
      </c>
      <c r="B21" s="4" t="s">
        <v>221</v>
      </c>
      <c r="C21" s="4" t="s">
        <v>83</v>
      </c>
      <c r="D21" s="12" t="s">
        <v>79</v>
      </c>
      <c r="E21" s="13">
        <v>1</v>
      </c>
      <c r="F21" s="13">
        <v>12000</v>
      </c>
      <c r="G21" s="13">
        <f>IF(OR(E21="",F21=""),"",E21*F21)</f>
      </c>
      <c r="H21" s="4" t="s">
        <v>182</v>
      </c>
    </row>
    <row r="22" ht="19.5" customHeight="1" spans="1:8" x14ac:dyDescent="0.25">
      <c r="A22" s="18" t="s">
        <v>222</v>
      </c>
      <c r="B22"/>
      <c r="C22"/>
      <c r="D22"/>
      <c r="E22"/>
      <c r="F22"/>
      <c r="G22" s="19">
        <f>SUM(G5:G21)</f>
      </c>
      <c r="H22" s="18" t="s">
        <v>98</v>
      </c>
    </row>
    <row r="23" spans="1:1" x14ac:dyDescent="0.25"/>
    <row r="24" spans="1:1" x14ac:dyDescent="0.25"/>
    <row r="25" ht="24" customHeight="1" spans="1:8" x14ac:dyDescent="0.25">
      <c r="A25" s="20" t="s">
        <v>223</v>
      </c>
      <c r="B25"/>
      <c r="C25"/>
      <c r="D25"/>
      <c r="E25"/>
      <c r="F25"/>
      <c r="G25" s="21">
        <f>SUMIF(G4:G23,"&lt;&gt;")</f>
      </c>
      <c r="H25" s="20" t="s">
        <v>98</v>
      </c>
    </row>
  </sheetData>
  <mergeCells count="5">
    <mergeCell ref="A1:H1"/>
    <mergeCell ref="A2:H2"/>
    <mergeCell ref="A4:H4"/>
    <mergeCell ref="A22:F22"/>
    <mergeCell ref="A25:F25"/>
  </mergeCells>
  <printOptions horizontalCentered="1"/>
  <pageMargins left="0.4" right="0.4" top="0.5" bottom="0.5" header="0.3" footer="0.3"/>
  <pageSetup paperSize="9" orientation="portrait" fitToWidth="1" fitToHeight="0"/>
  <headerFooter>
    <oddHeader>&amp;L&amp;"Arial,Bold"&amp;12Proposed B+G+8+R Commercial &amp; Residential Building&amp;R&amp;"Arial,Italic"&amp;10Job FA_P379 / CRs B/010/25</oddHeader>
    <oddFooter>&amp;LSection B — DISTRIBUTION BOARDS (DBs) &amp; CONSUMER UNITS&amp;RPage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7" customWidth="1"/>
    <col min="2" max="2" width="55" customWidth="1"/>
    <col min="3" max="3" width="18" customWidth="1"/>
    <col min="4" max="5" width="8" customWidth="1"/>
    <col min="6" max="6" width="14" customWidth="1"/>
    <col min="7" max="7" width="16" customWidth="1"/>
    <col min="8" max="8" width="30" customWidth="1"/>
  </cols>
  <sheetData>
    <row r="1" ht="27.75" customHeight="1" spans="1:8" x14ac:dyDescent="0.25">
      <c r="A1" s="1" t="s">
        <v>224</v>
      </c>
      <c r="B1"/>
      <c r="C1"/>
      <c r="D1"/>
      <c r="E1"/>
      <c r="F1"/>
      <c r="G1"/>
      <c r="H1"/>
    </row>
    <row r="2" ht="13.5" customHeight="1" spans="1:8" x14ac:dyDescent="0.25">
      <c r="A2" s="10" t="s">
        <v>67</v>
      </c>
      <c r="B2"/>
      <c r="C2"/>
      <c r="D2"/>
      <c r="E2"/>
      <c r="F2"/>
      <c r="G2"/>
      <c r="H2"/>
    </row>
    <row r="3" ht="27.75" customHeight="1" spans="1:8" x14ac:dyDescent="0.25">
      <c r="A3" s="6" t="s">
        <v>68</v>
      </c>
      <c r="B3" s="6" t="s">
        <v>35</v>
      </c>
      <c r="C3" s="6" t="s">
        <v>69</v>
      </c>
      <c r="D3" s="6" t="s">
        <v>70</v>
      </c>
      <c r="E3" s="6" t="s">
        <v>71</v>
      </c>
      <c r="F3" s="6" t="s">
        <v>72</v>
      </c>
      <c r="G3" s="6" t="s">
        <v>73</v>
      </c>
      <c r="H3" s="6" t="s">
        <v>74</v>
      </c>
    </row>
    <row r="4" ht="19.5" customHeight="1" spans="1:8" x14ac:dyDescent="0.25">
      <c r="A4" s="5" t="s">
        <v>225</v>
      </c>
      <c r="B4"/>
      <c r="C4"/>
      <c r="D4"/>
      <c r="E4"/>
      <c r="F4"/>
      <c r="G4"/>
      <c r="H4"/>
    </row>
    <row r="5" ht="57" customHeight="1" spans="1:8" x14ac:dyDescent="0.25">
      <c r="A5" s="11" t="s">
        <v>226</v>
      </c>
      <c r="B5" s="4" t="s">
        <v>227</v>
      </c>
      <c r="C5" s="4" t="s">
        <v>78</v>
      </c>
      <c r="D5" s="12" t="s">
        <v>228</v>
      </c>
      <c r="E5" s="13">
        <v>25</v>
      </c>
      <c r="F5" s="13">
        <v>195</v>
      </c>
      <c r="G5" s="13">
        <f>IF(OR(E5="",F5=""),"",E5*F5)</f>
      </c>
      <c r="H5" s="4" t="s">
        <v>98</v>
      </c>
    </row>
    <row r="6" ht="57" customHeight="1" spans="1:8" x14ac:dyDescent="0.25">
      <c r="A6" s="14" t="s">
        <v>229</v>
      </c>
      <c r="B6" s="15" t="s">
        <v>230</v>
      </c>
      <c r="C6" s="15" t="s">
        <v>78</v>
      </c>
      <c r="D6" s="16" t="s">
        <v>228</v>
      </c>
      <c r="E6" s="17">
        <v>29</v>
      </c>
      <c r="F6" s="17">
        <v>195</v>
      </c>
      <c r="G6" s="17">
        <f>IF(OR(E6="",F6=""),"",E6*F6)</f>
      </c>
      <c r="H6" s="15" t="s">
        <v>98</v>
      </c>
    </row>
    <row r="7" ht="57" customHeight="1" spans="1:8" x14ac:dyDescent="0.25">
      <c r="A7" s="11" t="s">
        <v>231</v>
      </c>
      <c r="B7" s="4" t="s">
        <v>232</v>
      </c>
      <c r="C7" s="4" t="s">
        <v>78</v>
      </c>
      <c r="D7" s="12" t="s">
        <v>228</v>
      </c>
      <c r="E7" s="13">
        <v>33</v>
      </c>
      <c r="F7" s="13">
        <v>195</v>
      </c>
      <c r="G7" s="13">
        <f>IF(OR(E7="",F7=""),"",E7*F7)</f>
      </c>
      <c r="H7" s="4" t="s">
        <v>98</v>
      </c>
    </row>
    <row r="8" ht="57" customHeight="1" spans="1:8" x14ac:dyDescent="0.25">
      <c r="A8" s="14" t="s">
        <v>233</v>
      </c>
      <c r="B8" s="15" t="s">
        <v>234</v>
      </c>
      <c r="C8" s="15" t="s">
        <v>78</v>
      </c>
      <c r="D8" s="16" t="s">
        <v>228</v>
      </c>
      <c r="E8" s="17">
        <v>37</v>
      </c>
      <c r="F8" s="17">
        <v>195</v>
      </c>
      <c r="G8" s="17">
        <f>IF(OR(E8="",F8=""),"",E8*F8)</f>
      </c>
      <c r="H8" s="15" t="s">
        <v>98</v>
      </c>
    </row>
    <row r="9" ht="57" customHeight="1" spans="1:8" x14ac:dyDescent="0.25">
      <c r="A9" s="11" t="s">
        <v>235</v>
      </c>
      <c r="B9" s="4" t="s">
        <v>236</v>
      </c>
      <c r="C9" s="4" t="s">
        <v>78</v>
      </c>
      <c r="D9" s="12" t="s">
        <v>228</v>
      </c>
      <c r="E9" s="13">
        <v>41</v>
      </c>
      <c r="F9" s="13">
        <v>195</v>
      </c>
      <c r="G9" s="13">
        <f>IF(OR(E9="",F9=""),"",E9*F9)</f>
      </c>
      <c r="H9" s="4" t="s">
        <v>98</v>
      </c>
    </row>
    <row r="10" ht="57" customHeight="1" spans="1:8" x14ac:dyDescent="0.25">
      <c r="A10" s="14" t="s">
        <v>237</v>
      </c>
      <c r="B10" s="15" t="s">
        <v>238</v>
      </c>
      <c r="C10" s="15" t="s">
        <v>78</v>
      </c>
      <c r="D10" s="16" t="s">
        <v>228</v>
      </c>
      <c r="E10" s="17">
        <v>45</v>
      </c>
      <c r="F10" s="17">
        <v>195</v>
      </c>
      <c r="G10" s="17">
        <f>IF(OR(E10="",F10=""),"",E10*F10)</f>
      </c>
      <c r="H10" s="15" t="s">
        <v>98</v>
      </c>
    </row>
    <row r="11" ht="57" customHeight="1" spans="1:8" x14ac:dyDescent="0.25">
      <c r="A11" s="11" t="s">
        <v>239</v>
      </c>
      <c r="B11" s="4" t="s">
        <v>240</v>
      </c>
      <c r="C11" s="4" t="s">
        <v>78</v>
      </c>
      <c r="D11" s="12" t="s">
        <v>228</v>
      </c>
      <c r="E11" s="13">
        <v>49</v>
      </c>
      <c r="F11" s="13">
        <v>195</v>
      </c>
      <c r="G11" s="13">
        <f>IF(OR(E11="",F11=""),"",E11*F11)</f>
      </c>
      <c r="H11" s="4" t="s">
        <v>98</v>
      </c>
    </row>
    <row r="12" ht="57" customHeight="1" spans="1:8" x14ac:dyDescent="0.25">
      <c r="A12" s="14" t="s">
        <v>241</v>
      </c>
      <c r="B12" s="15" t="s">
        <v>242</v>
      </c>
      <c r="C12" s="15" t="s">
        <v>78</v>
      </c>
      <c r="D12" s="16" t="s">
        <v>228</v>
      </c>
      <c r="E12" s="17">
        <v>53</v>
      </c>
      <c r="F12" s="17">
        <v>195</v>
      </c>
      <c r="G12" s="17">
        <f>IF(OR(E12="",F12=""),"",E12*F12)</f>
      </c>
      <c r="H12" s="15" t="s">
        <v>98</v>
      </c>
    </row>
    <row r="13" ht="57" customHeight="1" spans="1:8" x14ac:dyDescent="0.25">
      <c r="A13" s="11" t="s">
        <v>243</v>
      </c>
      <c r="B13" s="4" t="s">
        <v>244</v>
      </c>
      <c r="C13" s="4" t="s">
        <v>78</v>
      </c>
      <c r="D13" s="12" t="s">
        <v>228</v>
      </c>
      <c r="E13" s="13">
        <v>45</v>
      </c>
      <c r="F13" s="13">
        <v>245</v>
      </c>
      <c r="G13" s="13">
        <f>IF(OR(E13="",F13=""),"",E13*F13)</f>
      </c>
      <c r="H13" s="4" t="s">
        <v>98</v>
      </c>
    </row>
    <row r="14" ht="57" customHeight="1" spans="1:8" x14ac:dyDescent="0.25">
      <c r="A14" s="14" t="s">
        <v>245</v>
      </c>
      <c r="B14" s="15" t="s">
        <v>246</v>
      </c>
      <c r="C14" s="15" t="s">
        <v>78</v>
      </c>
      <c r="D14" s="16" t="s">
        <v>228</v>
      </c>
      <c r="E14" s="17">
        <v>45</v>
      </c>
      <c r="F14" s="17">
        <v>245</v>
      </c>
      <c r="G14" s="17">
        <f>IF(OR(E14="",F14=""),"",E14*F14)</f>
      </c>
      <c r="H14" s="15" t="s">
        <v>98</v>
      </c>
    </row>
    <row r="15" ht="57" customHeight="1" spans="1:8" x14ac:dyDescent="0.25">
      <c r="A15" s="11" t="s">
        <v>247</v>
      </c>
      <c r="B15" s="4" t="s">
        <v>248</v>
      </c>
      <c r="C15" s="4" t="s">
        <v>78</v>
      </c>
      <c r="D15" s="12" t="s">
        <v>228</v>
      </c>
      <c r="E15" s="13">
        <v>65</v>
      </c>
      <c r="F15" s="13">
        <v>195</v>
      </c>
      <c r="G15" s="13">
        <f>IF(OR(E15="",F15=""),"",E15*F15)</f>
      </c>
      <c r="H15" s="4" t="s">
        <v>98</v>
      </c>
    </row>
    <row r="16" ht="57" customHeight="1" spans="1:8" x14ac:dyDescent="0.25">
      <c r="A16" s="14" t="s">
        <v>249</v>
      </c>
      <c r="B16" s="15" t="s">
        <v>250</v>
      </c>
      <c r="C16" s="15" t="s">
        <v>78</v>
      </c>
      <c r="D16" s="16" t="s">
        <v>228</v>
      </c>
      <c r="E16" s="17">
        <v>15</v>
      </c>
      <c r="F16" s="17">
        <v>85</v>
      </c>
      <c r="G16" s="17">
        <f>IF(OR(E16="",F16=""),"",E16*F16)</f>
      </c>
      <c r="H16" s="15" t="s">
        <v>98</v>
      </c>
    </row>
    <row r="17" ht="57" customHeight="1" spans="1:8" x14ac:dyDescent="0.25">
      <c r="A17" s="11" t="s">
        <v>251</v>
      </c>
      <c r="B17" s="4" t="s">
        <v>252</v>
      </c>
      <c r="C17" s="4" t="s">
        <v>78</v>
      </c>
      <c r="D17" s="12" t="s">
        <v>228</v>
      </c>
      <c r="E17" s="13">
        <v>20</v>
      </c>
      <c r="F17" s="13">
        <v>110</v>
      </c>
      <c r="G17" s="13">
        <f>IF(OR(E17="",F17=""),"",E17*F17)</f>
      </c>
      <c r="H17" s="4" t="s">
        <v>98</v>
      </c>
    </row>
    <row r="18" ht="57" customHeight="1" spans="1:8" x14ac:dyDescent="0.25">
      <c r="A18" s="14" t="s">
        <v>253</v>
      </c>
      <c r="B18" s="15" t="s">
        <v>254</v>
      </c>
      <c r="C18" s="15" t="s">
        <v>78</v>
      </c>
      <c r="D18" s="16" t="s">
        <v>228</v>
      </c>
      <c r="E18" s="17">
        <v>20</v>
      </c>
      <c r="F18" s="17">
        <v>22</v>
      </c>
      <c r="G18" s="17">
        <f>IF(OR(E18="",F18=""),"",E18*F18)</f>
      </c>
      <c r="H18" s="15" t="s">
        <v>98</v>
      </c>
    </row>
    <row r="19" ht="57" customHeight="1" spans="1:8" x14ac:dyDescent="0.25">
      <c r="A19" s="11" t="s">
        <v>255</v>
      </c>
      <c r="B19" s="4" t="s">
        <v>256</v>
      </c>
      <c r="C19" s="4" t="s">
        <v>78</v>
      </c>
      <c r="D19" s="12" t="s">
        <v>228</v>
      </c>
      <c r="E19" s="13">
        <v>22</v>
      </c>
      <c r="F19" s="13">
        <v>22</v>
      </c>
      <c r="G19" s="13">
        <f>IF(OR(E19="",F19=""),"",E19*F19)</f>
      </c>
      <c r="H19" s="4" t="s">
        <v>98</v>
      </c>
    </row>
    <row r="20" ht="57" customHeight="1" spans="1:8" x14ac:dyDescent="0.25">
      <c r="A20" s="14" t="s">
        <v>257</v>
      </c>
      <c r="B20" s="15" t="s">
        <v>258</v>
      </c>
      <c r="C20" s="15" t="s">
        <v>78</v>
      </c>
      <c r="D20" s="16" t="s">
        <v>228</v>
      </c>
      <c r="E20" s="17">
        <v>24</v>
      </c>
      <c r="F20" s="17">
        <v>22</v>
      </c>
      <c r="G20" s="17">
        <f>IF(OR(E20="",F20=""),"",E20*F20)</f>
      </c>
      <c r="H20" s="15" t="s">
        <v>98</v>
      </c>
    </row>
    <row r="21" ht="57" customHeight="1" spans="1:8" x14ac:dyDescent="0.25">
      <c r="A21" s="11" t="s">
        <v>259</v>
      </c>
      <c r="B21" s="4" t="s">
        <v>260</v>
      </c>
      <c r="C21" s="4" t="s">
        <v>78</v>
      </c>
      <c r="D21" s="12" t="s">
        <v>228</v>
      </c>
      <c r="E21" s="13">
        <v>26</v>
      </c>
      <c r="F21" s="13">
        <v>22</v>
      </c>
      <c r="G21" s="13">
        <f>IF(OR(E21="",F21=""),"",E21*F21)</f>
      </c>
      <c r="H21" s="4" t="s">
        <v>98</v>
      </c>
    </row>
    <row r="22" ht="57" customHeight="1" spans="1:8" x14ac:dyDescent="0.25">
      <c r="A22" s="14" t="s">
        <v>261</v>
      </c>
      <c r="B22" s="15" t="s">
        <v>262</v>
      </c>
      <c r="C22" s="15" t="s">
        <v>78</v>
      </c>
      <c r="D22" s="16" t="s">
        <v>228</v>
      </c>
      <c r="E22" s="17">
        <v>28</v>
      </c>
      <c r="F22" s="17">
        <v>22</v>
      </c>
      <c r="G22" s="17">
        <f>IF(OR(E22="",F22=""),"",E22*F22)</f>
      </c>
      <c r="H22" s="15" t="s">
        <v>98</v>
      </c>
    </row>
    <row r="23" ht="57" customHeight="1" spans="1:8" x14ac:dyDescent="0.25">
      <c r="A23" s="11" t="s">
        <v>263</v>
      </c>
      <c r="B23" s="4" t="s">
        <v>264</v>
      </c>
      <c r="C23" s="4" t="s">
        <v>78</v>
      </c>
      <c r="D23" s="12" t="s">
        <v>228</v>
      </c>
      <c r="E23" s="13">
        <v>30</v>
      </c>
      <c r="F23" s="13">
        <v>22</v>
      </c>
      <c r="G23" s="13">
        <f>IF(OR(E23="",F23=""),"",E23*F23)</f>
      </c>
      <c r="H23" s="4" t="s">
        <v>98</v>
      </c>
    </row>
    <row r="24" ht="57" customHeight="1" spans="1:8" x14ac:dyDescent="0.25">
      <c r="A24" s="14" t="s">
        <v>265</v>
      </c>
      <c r="B24" s="15" t="s">
        <v>266</v>
      </c>
      <c r="C24" s="15" t="s">
        <v>78</v>
      </c>
      <c r="D24" s="16" t="s">
        <v>228</v>
      </c>
      <c r="E24" s="17">
        <v>32</v>
      </c>
      <c r="F24" s="17">
        <v>22</v>
      </c>
      <c r="G24" s="17">
        <f>IF(OR(E24="",F24=""),"",E24*F24)</f>
      </c>
      <c r="H24" s="15" t="s">
        <v>98</v>
      </c>
    </row>
    <row r="25" ht="57" customHeight="1" spans="1:8" x14ac:dyDescent="0.25">
      <c r="A25" s="11" t="s">
        <v>267</v>
      </c>
      <c r="B25" s="4" t="s">
        <v>268</v>
      </c>
      <c r="C25" s="4" t="s">
        <v>78</v>
      </c>
      <c r="D25" s="12" t="s">
        <v>228</v>
      </c>
      <c r="E25" s="13">
        <v>34</v>
      </c>
      <c r="F25" s="13">
        <v>22</v>
      </c>
      <c r="G25" s="13">
        <f>IF(OR(E25="",F25=""),"",E25*F25)</f>
      </c>
      <c r="H25" s="4" t="s">
        <v>98</v>
      </c>
    </row>
    <row r="26" ht="57" customHeight="1" spans="1:8" x14ac:dyDescent="0.25">
      <c r="A26" s="14" t="s">
        <v>269</v>
      </c>
      <c r="B26" s="15" t="s">
        <v>270</v>
      </c>
      <c r="C26" s="15" t="s">
        <v>78</v>
      </c>
      <c r="D26" s="16" t="s">
        <v>228</v>
      </c>
      <c r="E26" s="17">
        <v>36</v>
      </c>
      <c r="F26" s="17">
        <v>22</v>
      </c>
      <c r="G26" s="17">
        <f>IF(OR(E26="",F26=""),"",E26*F26)</f>
      </c>
      <c r="H26" s="15" t="s">
        <v>98</v>
      </c>
    </row>
    <row r="27" ht="57" customHeight="1" spans="1:8" x14ac:dyDescent="0.25">
      <c r="A27" s="11" t="s">
        <v>271</v>
      </c>
      <c r="B27" s="4" t="s">
        <v>272</v>
      </c>
      <c r="C27" s="4" t="s">
        <v>78</v>
      </c>
      <c r="D27" s="12" t="s">
        <v>228</v>
      </c>
      <c r="E27" s="13">
        <v>38</v>
      </c>
      <c r="F27" s="13">
        <v>22</v>
      </c>
      <c r="G27" s="13">
        <f>IF(OR(E27="",F27=""),"",E27*F27)</f>
      </c>
      <c r="H27" s="4" t="s">
        <v>98</v>
      </c>
    </row>
    <row r="28" ht="57" customHeight="1" spans="1:8" x14ac:dyDescent="0.25">
      <c r="A28" s="14" t="s">
        <v>273</v>
      </c>
      <c r="B28" s="15" t="s">
        <v>274</v>
      </c>
      <c r="C28" s="15" t="s">
        <v>78</v>
      </c>
      <c r="D28" s="16" t="s">
        <v>228</v>
      </c>
      <c r="E28" s="17">
        <v>40</v>
      </c>
      <c r="F28" s="17">
        <v>22</v>
      </c>
      <c r="G28" s="17">
        <f>IF(OR(E28="",F28=""),"",E28*F28)</f>
      </c>
      <c r="H28" s="15" t="s">
        <v>98</v>
      </c>
    </row>
    <row r="29" ht="57" customHeight="1" spans="1:8" x14ac:dyDescent="0.25">
      <c r="A29" s="11" t="s">
        <v>275</v>
      </c>
      <c r="B29" s="4" t="s">
        <v>276</v>
      </c>
      <c r="C29" s="4" t="s">
        <v>78</v>
      </c>
      <c r="D29" s="12" t="s">
        <v>228</v>
      </c>
      <c r="E29" s="13">
        <v>42</v>
      </c>
      <c r="F29" s="13">
        <v>32</v>
      </c>
      <c r="G29" s="13">
        <f>IF(OR(E29="",F29=""),"",E29*F29)</f>
      </c>
      <c r="H29" s="4" t="s">
        <v>98</v>
      </c>
    </row>
    <row r="30" ht="19.5" customHeight="1" spans="1:8" x14ac:dyDescent="0.25">
      <c r="A30" s="18" t="s">
        <v>277</v>
      </c>
      <c r="B30"/>
      <c r="C30"/>
      <c r="D30"/>
      <c r="E30"/>
      <c r="F30"/>
      <c r="G30" s="19">
        <f>SUM(G5:G29)</f>
      </c>
      <c r="H30" s="18" t="s">
        <v>98</v>
      </c>
    </row>
    <row r="31" spans="1:1" x14ac:dyDescent="0.25"/>
    <row r="32" ht="19.5" customHeight="1" spans="1:8" x14ac:dyDescent="0.25">
      <c r="A32" s="5" t="s">
        <v>278</v>
      </c>
      <c r="B32"/>
      <c r="C32"/>
      <c r="D32"/>
      <c r="E32"/>
      <c r="F32"/>
      <c r="G32"/>
      <c r="H32"/>
    </row>
    <row r="33" ht="44" customHeight="1" spans="1:8" x14ac:dyDescent="0.25">
      <c r="A33" s="11" t="s">
        <v>279</v>
      </c>
      <c r="B33" s="4" t="s">
        <v>280</v>
      </c>
      <c r="C33" s="4" t="s">
        <v>83</v>
      </c>
      <c r="D33" s="12" t="s">
        <v>228</v>
      </c>
      <c r="E33" s="13">
        <v>15</v>
      </c>
      <c r="F33" s="13">
        <v>616</v>
      </c>
      <c r="G33" s="13">
        <f>IF(OR(E33="",F33=""),"",E33*F33)</f>
      </c>
      <c r="H33" s="4" t="s">
        <v>98</v>
      </c>
    </row>
    <row r="34" ht="57" customHeight="1" spans="1:8" x14ac:dyDescent="0.25">
      <c r="A34" s="14" t="s">
        <v>281</v>
      </c>
      <c r="B34" s="15" t="s">
        <v>282</v>
      </c>
      <c r="C34" s="15" t="s">
        <v>83</v>
      </c>
      <c r="D34" s="16" t="s">
        <v>228</v>
      </c>
      <c r="E34" s="17">
        <v>35</v>
      </c>
      <c r="F34" s="17">
        <v>392</v>
      </c>
      <c r="G34" s="17">
        <f>IF(OR(E34="",F34=""),"",E34*F34)</f>
      </c>
      <c r="H34" s="15" t="s">
        <v>98</v>
      </c>
    </row>
    <row r="35" ht="19.5" customHeight="1" spans="1:8" x14ac:dyDescent="0.25">
      <c r="A35" s="18" t="s">
        <v>283</v>
      </c>
      <c r="B35"/>
      <c r="C35"/>
      <c r="D35"/>
      <c r="E35"/>
      <c r="F35"/>
      <c r="G35" s="19">
        <f>SUM(G33:G34)</f>
      </c>
      <c r="H35" s="18" t="s">
        <v>98</v>
      </c>
    </row>
    <row r="36" spans="1:1" x14ac:dyDescent="0.25"/>
    <row r="37" ht="19.5" customHeight="1" spans="1:8" x14ac:dyDescent="0.25">
      <c r="A37" s="5" t="s">
        <v>284</v>
      </c>
      <c r="B37"/>
      <c r="C37"/>
      <c r="D37"/>
      <c r="E37"/>
      <c r="F37"/>
      <c r="G37"/>
      <c r="H37"/>
    </row>
    <row r="38" ht="18" customHeight="1" spans="1:8" x14ac:dyDescent="0.25">
      <c r="A38" s="11" t="s">
        <v>285</v>
      </c>
      <c r="B38" s="4" t="s">
        <v>286</v>
      </c>
      <c r="C38" s="4" t="s">
        <v>83</v>
      </c>
      <c r="D38" s="12" t="s">
        <v>228</v>
      </c>
      <c r="E38" s="13">
        <v>50</v>
      </c>
      <c r="F38" s="13">
        <v>27</v>
      </c>
      <c r="G38" s="13">
        <f>IF(OR(E38="",F38=""),"",E38*F38)</f>
      </c>
      <c r="H38" s="4" t="s">
        <v>287</v>
      </c>
    </row>
    <row r="39" ht="44" customHeight="1" spans="1:8" x14ac:dyDescent="0.25">
      <c r="A39" s="14" t="s">
        <v>288</v>
      </c>
      <c r="B39" s="15" t="s">
        <v>289</v>
      </c>
      <c r="C39" s="15" t="s">
        <v>83</v>
      </c>
      <c r="D39" s="16" t="s">
        <v>228</v>
      </c>
      <c r="E39" s="17">
        <v>785</v>
      </c>
      <c r="F39" s="17">
        <v>6</v>
      </c>
      <c r="G39" s="17">
        <f>IF(OR(E39="",F39=""),"",E39*F39)</f>
      </c>
      <c r="H39" s="15" t="s">
        <v>290</v>
      </c>
    </row>
    <row r="40" ht="19.5" customHeight="1" spans="1:8" x14ac:dyDescent="0.25">
      <c r="A40" s="18" t="s">
        <v>291</v>
      </c>
      <c r="B40"/>
      <c r="C40"/>
      <c r="D40"/>
      <c r="E40"/>
      <c r="F40"/>
      <c r="G40" s="19">
        <f>SUM(G38:G39)</f>
      </c>
      <c r="H40" s="18" t="s">
        <v>98</v>
      </c>
    </row>
    <row r="41" spans="1:1" x14ac:dyDescent="0.25"/>
    <row r="42" spans="1:1" x14ac:dyDescent="0.25"/>
    <row r="43" ht="24" customHeight="1" spans="1:8" x14ac:dyDescent="0.25">
      <c r="A43" s="20" t="s">
        <v>292</v>
      </c>
      <c r="B43"/>
      <c r="C43"/>
      <c r="D43"/>
      <c r="E43"/>
      <c r="F43"/>
      <c r="G43" s="21">
        <f>SUMIF(G4:G41,"&lt;&gt;")</f>
      </c>
      <c r="H43" s="20" t="s">
        <v>98</v>
      </c>
    </row>
  </sheetData>
  <mergeCells count="9">
    <mergeCell ref="A1:H1"/>
    <mergeCell ref="A2:H2"/>
    <mergeCell ref="A4:H4"/>
    <mergeCell ref="A30:F30"/>
    <mergeCell ref="A32:H32"/>
    <mergeCell ref="A35:F35"/>
    <mergeCell ref="A37:H37"/>
    <mergeCell ref="A40:F40"/>
    <mergeCell ref="A43:F43"/>
  </mergeCells>
  <printOptions horizontalCentered="1"/>
  <pageMargins left="0.4" right="0.4" top="0.5" bottom="0.5" header="0.3" footer="0.3"/>
  <pageSetup paperSize="9" orientation="portrait" fitToWidth="1" fitToHeight="0"/>
  <headerFooter>
    <oddHeader>&amp;L&amp;"Arial,Bold"&amp;12Proposed B+G+8+R Commercial &amp; Residential Building&amp;R&amp;"Arial,Italic"&amp;10Job FA_P379 / CRs B/010/25</oddHeader>
    <oddFooter>&amp;LSection C — LV POWER CABLES — MAIN &amp; RISING MAINS (LV Panel to SMDBs)&amp;RPage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2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7" customWidth="1"/>
    <col min="2" max="2" width="55" customWidth="1"/>
    <col min="3" max="3" width="18" customWidth="1"/>
    <col min="4" max="5" width="8" customWidth="1"/>
    <col min="6" max="6" width="14" customWidth="1"/>
    <col min="7" max="7" width="16" customWidth="1"/>
    <col min="8" max="8" width="30" customWidth="1"/>
  </cols>
  <sheetData>
    <row r="1" ht="27.75" customHeight="1" spans="1:8" x14ac:dyDescent="0.25">
      <c r="A1" s="1" t="s">
        <v>293</v>
      </c>
      <c r="B1"/>
      <c r="C1"/>
      <c r="D1"/>
      <c r="E1"/>
      <c r="F1"/>
      <c r="G1"/>
      <c r="H1"/>
    </row>
    <row r="2" ht="13.5" customHeight="1" spans="1:8" x14ac:dyDescent="0.25">
      <c r="A2" s="10" t="s">
        <v>67</v>
      </c>
      <c r="B2"/>
      <c r="C2"/>
      <c r="D2"/>
      <c r="E2"/>
      <c r="F2"/>
      <c r="G2"/>
      <c r="H2"/>
    </row>
    <row r="3" ht="27.75" customHeight="1" spans="1:8" x14ac:dyDescent="0.25">
      <c r="A3" s="6" t="s">
        <v>68</v>
      </c>
      <c r="B3" s="6" t="s">
        <v>35</v>
      </c>
      <c r="C3" s="6" t="s">
        <v>69</v>
      </c>
      <c r="D3" s="6" t="s">
        <v>70</v>
      </c>
      <c r="E3" s="6" t="s">
        <v>71</v>
      </c>
      <c r="F3" s="6" t="s">
        <v>72</v>
      </c>
      <c r="G3" s="6" t="s">
        <v>73</v>
      </c>
      <c r="H3" s="6" t="s">
        <v>74</v>
      </c>
    </row>
    <row r="4" ht="19.5" customHeight="1" spans="1:8" x14ac:dyDescent="0.25">
      <c r="A4" s="5" t="s">
        <v>294</v>
      </c>
      <c r="B4"/>
      <c r="C4"/>
      <c r="D4"/>
      <c r="E4"/>
      <c r="F4"/>
      <c r="G4"/>
      <c r="H4"/>
    </row>
    <row r="5" ht="18" customHeight="1" spans="1:8" x14ac:dyDescent="0.25">
      <c r="A5" s="11" t="s">
        <v>295</v>
      </c>
      <c r="B5" s="4" t="s">
        <v>296</v>
      </c>
      <c r="C5" s="4" t="s">
        <v>83</v>
      </c>
      <c r="D5" s="12" t="s">
        <v>228</v>
      </c>
      <c r="E5" s="13">
        <v>20</v>
      </c>
      <c r="F5" s="13">
        <v>32</v>
      </c>
      <c r="G5" s="13">
        <f>IF(OR(E5="",F5=""),"",E5*F5)</f>
      </c>
      <c r="H5" s="4" t="s">
        <v>98</v>
      </c>
    </row>
    <row r="6" ht="18" customHeight="1" spans="1:8" x14ac:dyDescent="0.25">
      <c r="A6" s="14" t="s">
        <v>297</v>
      </c>
      <c r="B6" s="15" t="s">
        <v>298</v>
      </c>
      <c r="C6" s="15" t="s">
        <v>83</v>
      </c>
      <c r="D6" s="16" t="s">
        <v>228</v>
      </c>
      <c r="E6" s="17">
        <v>15</v>
      </c>
      <c r="F6" s="17">
        <v>22</v>
      </c>
      <c r="G6" s="17">
        <f>IF(OR(E6="",F6=""),"",E6*F6)</f>
      </c>
      <c r="H6" s="15" t="s">
        <v>98</v>
      </c>
    </row>
    <row r="7" ht="18" customHeight="1" spans="1:8" x14ac:dyDescent="0.25">
      <c r="A7" s="11" t="s">
        <v>299</v>
      </c>
      <c r="B7" s="4" t="s">
        <v>300</v>
      </c>
      <c r="C7" s="4" t="s">
        <v>83</v>
      </c>
      <c r="D7" s="12" t="s">
        <v>228</v>
      </c>
      <c r="E7" s="13">
        <v>15</v>
      </c>
      <c r="F7" s="13">
        <v>22</v>
      </c>
      <c r="G7" s="13">
        <f>IF(OR(E7="",F7=""),"",E7*F7)</f>
      </c>
      <c r="H7" s="4" t="s">
        <v>98</v>
      </c>
    </row>
    <row r="8" ht="18" customHeight="1" spans="1:8" x14ac:dyDescent="0.25">
      <c r="A8" s="14" t="s">
        <v>301</v>
      </c>
      <c r="B8" s="15" t="s">
        <v>302</v>
      </c>
      <c r="C8" s="15" t="s">
        <v>83</v>
      </c>
      <c r="D8" s="16" t="s">
        <v>228</v>
      </c>
      <c r="E8" s="17">
        <v>15</v>
      </c>
      <c r="F8" s="17">
        <v>22</v>
      </c>
      <c r="G8" s="17">
        <f>IF(OR(E8="",F8=""),"",E8*F8)</f>
      </c>
      <c r="H8" s="15" t="s">
        <v>98</v>
      </c>
    </row>
    <row r="9" ht="18" customHeight="1" spans="1:8" x14ac:dyDescent="0.25">
      <c r="A9" s="11" t="s">
        <v>303</v>
      </c>
      <c r="B9" s="4" t="s">
        <v>304</v>
      </c>
      <c r="C9" s="4" t="s">
        <v>83</v>
      </c>
      <c r="D9" s="12" t="s">
        <v>228</v>
      </c>
      <c r="E9" s="13">
        <v>20</v>
      </c>
      <c r="F9" s="13">
        <v>22</v>
      </c>
      <c r="G9" s="13">
        <f>IF(OR(E9="",F9=""),"",E9*F9)</f>
      </c>
      <c r="H9" s="4" t="s">
        <v>98</v>
      </c>
    </row>
    <row r="10" ht="18" customHeight="1" spans="1:8" x14ac:dyDescent="0.25">
      <c r="A10" s="14" t="s">
        <v>305</v>
      </c>
      <c r="B10" s="15" t="s">
        <v>306</v>
      </c>
      <c r="C10" s="15" t="s">
        <v>83</v>
      </c>
      <c r="D10" s="16" t="s">
        <v>228</v>
      </c>
      <c r="E10" s="17">
        <v>20</v>
      </c>
      <c r="F10" s="17">
        <v>22</v>
      </c>
      <c r="G10" s="17">
        <f>IF(OR(E10="",F10=""),"",E10*F10)</f>
      </c>
      <c r="H10" s="15" t="s">
        <v>98</v>
      </c>
    </row>
    <row r="11" ht="18" customHeight="1" spans="1:8" x14ac:dyDescent="0.25">
      <c r="A11" s="11" t="s">
        <v>307</v>
      </c>
      <c r="B11" s="4" t="s">
        <v>308</v>
      </c>
      <c r="C11" s="4" t="s">
        <v>83</v>
      </c>
      <c r="D11" s="12" t="s">
        <v>228</v>
      </c>
      <c r="E11" s="13">
        <v>15</v>
      </c>
      <c r="F11" s="13">
        <v>22</v>
      </c>
      <c r="G11" s="13">
        <f>IF(OR(E11="",F11=""),"",E11*F11)</f>
      </c>
      <c r="H11" s="4" t="s">
        <v>98</v>
      </c>
    </row>
    <row r="12" ht="44" customHeight="1" spans="1:8" x14ac:dyDescent="0.25">
      <c r="A12" s="14" t="s">
        <v>309</v>
      </c>
      <c r="B12" s="15" t="s">
        <v>310</v>
      </c>
      <c r="C12" s="15" t="s">
        <v>83</v>
      </c>
      <c r="D12" s="16" t="s">
        <v>228</v>
      </c>
      <c r="E12" s="17">
        <v>25</v>
      </c>
      <c r="F12" s="17">
        <v>32</v>
      </c>
      <c r="G12" s="17">
        <f>IF(OR(E12="",F12=""),"",E12*F12)</f>
      </c>
      <c r="H12" s="15" t="s">
        <v>98</v>
      </c>
    </row>
    <row r="13" ht="44" customHeight="1" spans="1:8" x14ac:dyDescent="0.25">
      <c r="A13" s="11" t="s">
        <v>311</v>
      </c>
      <c r="B13" s="4" t="s">
        <v>312</v>
      </c>
      <c r="C13" s="4" t="s">
        <v>83</v>
      </c>
      <c r="D13" s="12" t="s">
        <v>228</v>
      </c>
      <c r="E13" s="13">
        <v>25</v>
      </c>
      <c r="F13" s="13">
        <v>32</v>
      </c>
      <c r="G13" s="13">
        <f>IF(OR(E13="",F13=""),"",E13*F13)</f>
      </c>
      <c r="H13" s="4" t="s">
        <v>98</v>
      </c>
    </row>
    <row r="14" ht="19.5" customHeight="1" spans="1:8" x14ac:dyDescent="0.25">
      <c r="A14" s="18" t="s">
        <v>313</v>
      </c>
      <c r="B14"/>
      <c r="C14"/>
      <c r="D14"/>
      <c r="E14"/>
      <c r="F14"/>
      <c r="G14" s="19">
        <f>SUM(G5:G13)</f>
      </c>
      <c r="H14" s="18" t="s">
        <v>98</v>
      </c>
    </row>
    <row r="15" spans="1:1" x14ac:dyDescent="0.25"/>
    <row r="16" ht="19.5" customHeight="1" spans="1:8" x14ac:dyDescent="0.25">
      <c r="A16" s="5" t="s">
        <v>314</v>
      </c>
      <c r="B16"/>
      <c r="C16"/>
      <c r="D16"/>
      <c r="E16"/>
      <c r="F16"/>
      <c r="G16"/>
      <c r="H16"/>
    </row>
    <row r="17" ht="18" customHeight="1" spans="1:8" x14ac:dyDescent="0.25">
      <c r="A17" s="11" t="s">
        <v>315</v>
      </c>
      <c r="B17" s="4" t="s">
        <v>316</v>
      </c>
      <c r="C17" s="4" t="s">
        <v>83</v>
      </c>
      <c r="D17" s="12" t="s">
        <v>228</v>
      </c>
      <c r="E17" s="13">
        <v>65</v>
      </c>
      <c r="F17" s="13">
        <v>176</v>
      </c>
      <c r="G17" s="13">
        <f>IF(OR(E17="",F17=""),"",E17*F17)</f>
      </c>
      <c r="H17" s="4" t="s">
        <v>98</v>
      </c>
    </row>
    <row r="18" ht="18" customHeight="1" spans="1:8" x14ac:dyDescent="0.25">
      <c r="A18" s="14" t="s">
        <v>317</v>
      </c>
      <c r="B18" s="15" t="s">
        <v>318</v>
      </c>
      <c r="C18" s="15" t="s">
        <v>83</v>
      </c>
      <c r="D18" s="16" t="s">
        <v>228</v>
      </c>
      <c r="E18" s="17">
        <v>15</v>
      </c>
      <c r="F18" s="17">
        <v>35</v>
      </c>
      <c r="G18" s="17">
        <f>IF(OR(E18="",F18=""),"",E18*F18)</f>
      </c>
      <c r="H18" s="15" t="s">
        <v>98</v>
      </c>
    </row>
    <row r="19" ht="18" customHeight="1" spans="1:8" x14ac:dyDescent="0.25">
      <c r="A19" s="11" t="s">
        <v>319</v>
      </c>
      <c r="B19" s="4" t="s">
        <v>320</v>
      </c>
      <c r="C19" s="4" t="s">
        <v>83</v>
      </c>
      <c r="D19" s="12" t="s">
        <v>228</v>
      </c>
      <c r="E19" s="13">
        <v>25</v>
      </c>
      <c r="F19" s="13">
        <v>22</v>
      </c>
      <c r="G19" s="13">
        <f>IF(OR(E19="",F19=""),"",E19*F19)</f>
      </c>
      <c r="H19" s="4" t="s">
        <v>98</v>
      </c>
    </row>
    <row r="20" ht="18" customHeight="1" spans="1:8" x14ac:dyDescent="0.25">
      <c r="A20" s="14" t="s">
        <v>321</v>
      </c>
      <c r="B20" s="15" t="s">
        <v>322</v>
      </c>
      <c r="C20" s="15" t="s">
        <v>83</v>
      </c>
      <c r="D20" s="16" t="s">
        <v>228</v>
      </c>
      <c r="E20" s="17">
        <v>15</v>
      </c>
      <c r="F20" s="17">
        <v>35</v>
      </c>
      <c r="G20" s="17">
        <f>IF(OR(E20="",F20=""),"",E20*F20)</f>
      </c>
      <c r="H20" s="15" t="s">
        <v>98</v>
      </c>
    </row>
    <row r="21" ht="18" customHeight="1" spans="1:8" x14ac:dyDescent="0.25">
      <c r="A21" s="11" t="s">
        <v>323</v>
      </c>
      <c r="B21" s="4" t="s">
        <v>324</v>
      </c>
      <c r="C21" s="4" t="s">
        <v>83</v>
      </c>
      <c r="D21" s="12" t="s">
        <v>228</v>
      </c>
      <c r="E21" s="13">
        <v>30</v>
      </c>
      <c r="F21" s="13">
        <v>35</v>
      </c>
      <c r="G21" s="13">
        <f>IF(OR(E21="",F21=""),"",E21*F21)</f>
      </c>
      <c r="H21" s="4" t="s">
        <v>98</v>
      </c>
    </row>
    <row r="22" ht="18" customHeight="1" spans="1:8" x14ac:dyDescent="0.25">
      <c r="A22" s="14" t="s">
        <v>325</v>
      </c>
      <c r="B22" s="15" t="s">
        <v>326</v>
      </c>
      <c r="C22" s="15" t="s">
        <v>83</v>
      </c>
      <c r="D22" s="16" t="s">
        <v>228</v>
      </c>
      <c r="E22" s="17">
        <v>20</v>
      </c>
      <c r="F22" s="17">
        <v>35</v>
      </c>
      <c r="G22" s="17">
        <f>IF(OR(E22="",F22=""),"",E22*F22)</f>
      </c>
      <c r="H22" s="15" t="s">
        <v>98</v>
      </c>
    </row>
    <row r="23" ht="18" customHeight="1" spans="1:8" x14ac:dyDescent="0.25">
      <c r="A23" s="11" t="s">
        <v>327</v>
      </c>
      <c r="B23" s="4" t="s">
        <v>328</v>
      </c>
      <c r="C23" s="4" t="s">
        <v>83</v>
      </c>
      <c r="D23" s="12" t="s">
        <v>228</v>
      </c>
      <c r="E23" s="13">
        <v>10</v>
      </c>
      <c r="F23" s="13">
        <v>35</v>
      </c>
      <c r="G23" s="13">
        <f>IF(OR(E23="",F23=""),"",E23*F23)</f>
      </c>
      <c r="H23" s="4" t="s">
        <v>98</v>
      </c>
    </row>
    <row r="24" ht="18" customHeight="1" spans="1:8" x14ac:dyDescent="0.25">
      <c r="A24" s="14" t="s">
        <v>329</v>
      </c>
      <c r="B24" s="15" t="s">
        <v>330</v>
      </c>
      <c r="C24" s="15" t="s">
        <v>83</v>
      </c>
      <c r="D24" s="16" t="s">
        <v>228</v>
      </c>
      <c r="E24" s="17">
        <v>15</v>
      </c>
      <c r="F24" s="17">
        <v>35</v>
      </c>
      <c r="G24" s="17">
        <f>IF(OR(E24="",F24=""),"",E24*F24)</f>
      </c>
      <c r="H24" s="15" t="s">
        <v>98</v>
      </c>
    </row>
    <row r="25" ht="18" customHeight="1" spans="1:8" x14ac:dyDescent="0.25">
      <c r="A25" s="11" t="s">
        <v>331</v>
      </c>
      <c r="B25" s="4" t="s">
        <v>332</v>
      </c>
      <c r="C25" s="4" t="s">
        <v>83</v>
      </c>
      <c r="D25" s="12" t="s">
        <v>228</v>
      </c>
      <c r="E25" s="13">
        <v>35</v>
      </c>
      <c r="F25" s="13">
        <v>35</v>
      </c>
      <c r="G25" s="13">
        <f>IF(OR(E25="",F25=""),"",E25*F25)</f>
      </c>
      <c r="H25" s="4" t="s">
        <v>98</v>
      </c>
    </row>
    <row r="26" ht="18" customHeight="1" spans="1:8" x14ac:dyDescent="0.25">
      <c r="A26" s="14" t="s">
        <v>333</v>
      </c>
      <c r="B26" s="15" t="s">
        <v>334</v>
      </c>
      <c r="C26" s="15" t="s">
        <v>83</v>
      </c>
      <c r="D26" s="16" t="s">
        <v>228</v>
      </c>
      <c r="E26" s="17">
        <v>35</v>
      </c>
      <c r="F26" s="17">
        <v>35</v>
      </c>
      <c r="G26" s="17">
        <f>IF(OR(E26="",F26=""),"",E26*F26)</f>
      </c>
      <c r="H26" s="15" t="s">
        <v>98</v>
      </c>
    </row>
    <row r="27" ht="18" customHeight="1" spans="1:8" x14ac:dyDescent="0.25">
      <c r="A27" s="11" t="s">
        <v>335</v>
      </c>
      <c r="B27" s="4" t="s">
        <v>336</v>
      </c>
      <c r="C27" s="4" t="s">
        <v>83</v>
      </c>
      <c r="D27" s="12" t="s">
        <v>228</v>
      </c>
      <c r="E27" s="13">
        <v>35</v>
      </c>
      <c r="F27" s="13">
        <v>35</v>
      </c>
      <c r="G27" s="13">
        <f>IF(OR(E27="",F27=""),"",E27*F27)</f>
      </c>
      <c r="H27" s="4" t="s">
        <v>98</v>
      </c>
    </row>
    <row r="28" ht="18" customHeight="1" spans="1:8" x14ac:dyDescent="0.25">
      <c r="A28" s="14" t="s">
        <v>337</v>
      </c>
      <c r="B28" s="15" t="s">
        <v>338</v>
      </c>
      <c r="C28" s="15" t="s">
        <v>83</v>
      </c>
      <c r="D28" s="16" t="s">
        <v>228</v>
      </c>
      <c r="E28" s="17">
        <v>20</v>
      </c>
      <c r="F28" s="17">
        <v>35</v>
      </c>
      <c r="G28" s="17">
        <f>IF(OR(E28="",F28=""),"",E28*F28)</f>
      </c>
      <c r="H28" s="15" t="s">
        <v>98</v>
      </c>
    </row>
    <row r="29" ht="19.5" customHeight="1" spans="1:8" x14ac:dyDescent="0.25">
      <c r="A29" s="18" t="s">
        <v>339</v>
      </c>
      <c r="B29"/>
      <c r="C29"/>
      <c r="D29"/>
      <c r="E29"/>
      <c r="F29"/>
      <c r="G29" s="19">
        <f>SUM(G17:G28)</f>
      </c>
      <c r="H29" s="18" t="s">
        <v>98</v>
      </c>
    </row>
    <row r="30" spans="1:1" x14ac:dyDescent="0.25"/>
    <row r="31" spans="1:1" x14ac:dyDescent="0.25"/>
    <row r="32" ht="24" customHeight="1" spans="1:8" x14ac:dyDescent="0.25">
      <c r="A32" s="20" t="s">
        <v>340</v>
      </c>
      <c r="B32"/>
      <c r="C32"/>
      <c r="D32"/>
      <c r="E32"/>
      <c r="F32"/>
      <c r="G32" s="21">
        <f>SUMIF(G4:G30,"&lt;&gt;")</f>
      </c>
      <c r="H32" s="20" t="s">
        <v>98</v>
      </c>
    </row>
  </sheetData>
  <mergeCells count="7">
    <mergeCell ref="A1:H1"/>
    <mergeCell ref="A2:H2"/>
    <mergeCell ref="A4:H4"/>
    <mergeCell ref="A14:F14"/>
    <mergeCell ref="A16:H16"/>
    <mergeCell ref="A29:F29"/>
    <mergeCell ref="A32:F32"/>
  </mergeCells>
  <printOptions horizontalCentered="1"/>
  <pageMargins left="0.4" right="0.4" top="0.5" bottom="0.5" header="0.3" footer="0.3"/>
  <pageSetup paperSize="9" orientation="portrait" fitToWidth="1" fitToHeight="0"/>
  <headerFooter>
    <oddHeader>&amp;L&amp;"Arial,Bold"&amp;12Proposed B+G+8+R Commercial &amp; Residential Building&amp;R&amp;"Arial,Italic"&amp;10Job FA_P379 / CRs B/010/25</oddHeader>
    <oddFooter>&amp;LSection D — LV POWER CABLES — DISTRIBUTION (SMDB to DB)&amp;RPage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7" customWidth="1"/>
    <col min="2" max="2" width="55" customWidth="1"/>
    <col min="3" max="3" width="18" customWidth="1"/>
    <col min="4" max="5" width="8" customWidth="1"/>
    <col min="6" max="6" width="14" customWidth="1"/>
    <col min="7" max="7" width="16" customWidth="1"/>
    <col min="8" max="8" width="30" customWidth="1"/>
  </cols>
  <sheetData>
    <row r="1" ht="27.75" customHeight="1" spans="1:8" x14ac:dyDescent="0.25">
      <c r="A1" s="1" t="s">
        <v>341</v>
      </c>
      <c r="B1"/>
      <c r="C1"/>
      <c r="D1"/>
      <c r="E1"/>
      <c r="F1"/>
      <c r="G1"/>
      <c r="H1"/>
    </row>
    <row r="2" ht="13.5" customHeight="1" spans="1:8" x14ac:dyDescent="0.25">
      <c r="A2" s="10" t="s">
        <v>67</v>
      </c>
      <c r="B2"/>
      <c r="C2"/>
      <c r="D2"/>
      <c r="E2"/>
      <c r="F2"/>
      <c r="G2"/>
      <c r="H2"/>
    </row>
    <row r="3" ht="27.75" customHeight="1" spans="1:8" x14ac:dyDescent="0.25">
      <c r="A3" s="6" t="s">
        <v>68</v>
      </c>
      <c r="B3" s="6" t="s">
        <v>35</v>
      </c>
      <c r="C3" s="6" t="s">
        <v>69</v>
      </c>
      <c r="D3" s="6" t="s">
        <v>70</v>
      </c>
      <c r="E3" s="6" t="s">
        <v>71</v>
      </c>
      <c r="F3" s="6" t="s">
        <v>72</v>
      </c>
      <c r="G3" s="6" t="s">
        <v>73</v>
      </c>
      <c r="H3" s="6" t="s">
        <v>74</v>
      </c>
    </row>
    <row r="4" ht="19.5" customHeight="1" spans="1:8" x14ac:dyDescent="0.25">
      <c r="A4" s="5" t="s">
        <v>342</v>
      </c>
      <c r="B4"/>
      <c r="C4"/>
      <c r="D4"/>
      <c r="E4"/>
      <c r="F4"/>
      <c r="G4"/>
      <c r="H4"/>
    </row>
    <row r="5" ht="44" customHeight="1" spans="1:8" x14ac:dyDescent="0.25">
      <c r="A5" s="11" t="s">
        <v>343</v>
      </c>
      <c r="B5" s="4" t="s">
        <v>344</v>
      </c>
      <c r="C5" s="4" t="s">
        <v>83</v>
      </c>
      <c r="D5" s="12" t="s">
        <v>228</v>
      </c>
      <c r="E5" s="13">
        <v>40</v>
      </c>
      <c r="F5" s="13">
        <v>640</v>
      </c>
      <c r="G5" s="13">
        <f>IF(OR(E5="",F5=""),"",E5*F5)</f>
      </c>
      <c r="H5" s="4" t="s">
        <v>98</v>
      </c>
    </row>
    <row r="6" ht="44" customHeight="1" spans="1:8" x14ac:dyDescent="0.25">
      <c r="A6" s="14" t="s">
        <v>345</v>
      </c>
      <c r="B6" s="15" t="s">
        <v>346</v>
      </c>
      <c r="C6" s="15" t="s">
        <v>83</v>
      </c>
      <c r="D6" s="16" t="s">
        <v>228</v>
      </c>
      <c r="E6" s="17">
        <v>130</v>
      </c>
      <c r="F6" s="17">
        <v>385</v>
      </c>
      <c r="G6" s="17">
        <f>IF(OR(E6="",F6=""),"",E6*F6)</f>
      </c>
      <c r="H6" s="15" t="s">
        <v>98</v>
      </c>
    </row>
    <row r="7" ht="44" customHeight="1" spans="1:8" x14ac:dyDescent="0.25">
      <c r="A7" s="11" t="s">
        <v>347</v>
      </c>
      <c r="B7" s="4" t="s">
        <v>348</v>
      </c>
      <c r="C7" s="4" t="s">
        <v>83</v>
      </c>
      <c r="D7" s="12" t="s">
        <v>228</v>
      </c>
      <c r="E7" s="13">
        <v>400</v>
      </c>
      <c r="F7" s="13">
        <v>310</v>
      </c>
      <c r="G7" s="13">
        <f>IF(OR(E7="",F7=""),"",E7*F7)</f>
      </c>
      <c r="H7" s="4" t="s">
        <v>98</v>
      </c>
    </row>
    <row r="8" ht="44" customHeight="1" spans="1:8" x14ac:dyDescent="0.25">
      <c r="A8" s="14" t="s">
        <v>349</v>
      </c>
      <c r="B8" s="15" t="s">
        <v>350</v>
      </c>
      <c r="C8" s="15" t="s">
        <v>83</v>
      </c>
      <c r="D8" s="16" t="s">
        <v>228</v>
      </c>
      <c r="E8" s="17">
        <v>300</v>
      </c>
      <c r="F8" s="17">
        <v>160</v>
      </c>
      <c r="G8" s="17">
        <f>IF(OR(E8="",F8=""),"",E8*F8)</f>
      </c>
      <c r="H8" s="15" t="s">
        <v>98</v>
      </c>
    </row>
    <row r="9" ht="44" customHeight="1" spans="1:8" x14ac:dyDescent="0.25">
      <c r="A9" s="11" t="s">
        <v>351</v>
      </c>
      <c r="B9" s="4" t="s">
        <v>352</v>
      </c>
      <c r="C9" s="4" t="s">
        <v>83</v>
      </c>
      <c r="D9" s="12" t="s">
        <v>228</v>
      </c>
      <c r="E9" s="13">
        <v>100</v>
      </c>
      <c r="F9" s="13">
        <v>310</v>
      </c>
      <c r="G9" s="13">
        <f>IF(OR(E9="",F9=""),"",E9*F9)</f>
      </c>
      <c r="H9" s="4" t="s">
        <v>98</v>
      </c>
    </row>
    <row r="10" ht="44" customHeight="1" spans="1:8" x14ac:dyDescent="0.25">
      <c r="A10" s="14" t="s">
        <v>353</v>
      </c>
      <c r="B10" s="15" t="s">
        <v>354</v>
      </c>
      <c r="C10" s="15" t="s">
        <v>83</v>
      </c>
      <c r="D10" s="16" t="s">
        <v>228</v>
      </c>
      <c r="E10" s="17">
        <v>80</v>
      </c>
      <c r="F10" s="17">
        <v>385</v>
      </c>
      <c r="G10" s="17">
        <f>IF(OR(E10="",F10=""),"",E10*F10)</f>
      </c>
      <c r="H10" s="15" t="s">
        <v>98</v>
      </c>
    </row>
    <row r="11" ht="44" customHeight="1" spans="1:8" x14ac:dyDescent="0.25">
      <c r="A11" s="11" t="s">
        <v>355</v>
      </c>
      <c r="B11" s="4" t="s">
        <v>356</v>
      </c>
      <c r="C11" s="4" t="s">
        <v>83</v>
      </c>
      <c r="D11" s="12" t="s">
        <v>228</v>
      </c>
      <c r="E11" s="13">
        <v>535</v>
      </c>
      <c r="F11" s="13">
        <v>48</v>
      </c>
      <c r="G11" s="13">
        <f>IF(OR(E11="",F11=""),"",E11*F11)</f>
      </c>
      <c r="H11" s="4" t="s">
        <v>98</v>
      </c>
    </row>
    <row r="12" ht="44" customHeight="1" spans="1:8" x14ac:dyDescent="0.25">
      <c r="A12" s="14" t="s">
        <v>357</v>
      </c>
      <c r="B12" s="15" t="s">
        <v>358</v>
      </c>
      <c r="C12" s="15" t="s">
        <v>83</v>
      </c>
      <c r="D12" s="16" t="s">
        <v>228</v>
      </c>
      <c r="E12" s="17">
        <v>80</v>
      </c>
      <c r="F12" s="17">
        <v>62</v>
      </c>
      <c r="G12" s="17">
        <f>IF(OR(E12="",F12=""),"",E12*F12)</f>
      </c>
      <c r="H12" s="15" t="s">
        <v>98</v>
      </c>
    </row>
    <row r="13" ht="44" customHeight="1" spans="1:8" x14ac:dyDescent="0.25">
      <c r="A13" s="11" t="s">
        <v>359</v>
      </c>
      <c r="B13" s="4" t="s">
        <v>360</v>
      </c>
      <c r="C13" s="4" t="s">
        <v>83</v>
      </c>
      <c r="D13" s="12" t="s">
        <v>228</v>
      </c>
      <c r="E13" s="13">
        <v>400</v>
      </c>
      <c r="F13" s="13">
        <v>48</v>
      </c>
      <c r="G13" s="13">
        <f>IF(OR(E13="",F13=""),"",E13*F13)</f>
      </c>
      <c r="H13" s="4" t="s">
        <v>98</v>
      </c>
    </row>
    <row r="14" ht="44" customHeight="1" spans="1:8" x14ac:dyDescent="0.25">
      <c r="A14" s="14" t="s">
        <v>361</v>
      </c>
      <c r="B14" s="15" t="s">
        <v>362</v>
      </c>
      <c r="C14" s="15" t="s">
        <v>83</v>
      </c>
      <c r="D14" s="16" t="s">
        <v>228</v>
      </c>
      <c r="E14" s="17">
        <v>200</v>
      </c>
      <c r="F14" s="17">
        <v>77</v>
      </c>
      <c r="G14" s="17">
        <f>IF(OR(E14="",F14=""),"",E14*F14)</f>
      </c>
      <c r="H14" s="15" t="s">
        <v>98</v>
      </c>
    </row>
    <row r="15" ht="19.5" customHeight="1" spans="1:8" x14ac:dyDescent="0.25">
      <c r="A15" s="18" t="s">
        <v>363</v>
      </c>
      <c r="B15"/>
      <c r="C15"/>
      <c r="D15"/>
      <c r="E15"/>
      <c r="F15"/>
      <c r="G15" s="19">
        <f>SUM(G5:G14)</f>
      </c>
      <c r="H15" s="18" t="s">
        <v>98</v>
      </c>
    </row>
    <row r="16" spans="1:1" x14ac:dyDescent="0.25"/>
    <row r="17" spans="1:1" x14ac:dyDescent="0.25"/>
    <row r="18" ht="24" customHeight="1" spans="1:8" x14ac:dyDescent="0.25">
      <c r="A18" s="20" t="s">
        <v>364</v>
      </c>
      <c r="B18"/>
      <c r="C18"/>
      <c r="D18"/>
      <c r="E18"/>
      <c r="F18"/>
      <c r="G18" s="21">
        <f>SUMIF(G4:G16,"&lt;&gt;")</f>
      </c>
      <c r="H18" s="20" t="s">
        <v>98</v>
      </c>
    </row>
  </sheetData>
  <mergeCells count="5">
    <mergeCell ref="A1:H1"/>
    <mergeCell ref="A2:H2"/>
    <mergeCell ref="A4:H4"/>
    <mergeCell ref="A15:F15"/>
    <mergeCell ref="A18:F18"/>
  </mergeCells>
  <printOptions horizontalCentered="1"/>
  <pageMargins left="0.4" right="0.4" top="0.5" bottom="0.5" header="0.3" footer="0.3"/>
  <pageSetup paperSize="9" orientation="portrait" fitToWidth="1" fitToHeight="0"/>
  <headerFooter>
    <oddHeader>&amp;L&amp;"Arial,Bold"&amp;12Proposed B+G+8+R Commercial &amp; Residential Building&amp;R&amp;"Arial,Italic"&amp;10Job FA_P379 / CRs B/010/25</oddHeader>
    <oddFooter>&amp;LSection E — CABLE MANAGEMENT — TRAYS, LADDERS &amp; CONDUITS&amp;RPage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0" customWidth="1"/>
    <col min="2" max="2" width="52" customWidth="1"/>
    <col min="3" max="3" width="14" customWidth="1"/>
    <col min="4" max="4" width="20" customWidth="1"/>
    <col min="5" max="5" width="45" customWidth="1"/>
    <col min="6" max="6" width="5" customWidth="1"/>
  </cols>
  <sheetData>
    <row r="1" ht="27.75" customHeight="1" spans="1:5" x14ac:dyDescent="0.25">
      <c r="A1" s="1" t="s">
        <v>365</v>
      </c>
      <c r="B1"/>
      <c r="C1"/>
      <c r="D1"/>
      <c r="E1"/>
    </row>
    <row r="2" ht="18" customHeight="1" spans="1:5" x14ac:dyDescent="0.25">
      <c r="A2" s="22" t="s">
        <v>366</v>
      </c>
      <c r="B2"/>
      <c r="C2"/>
      <c r="D2"/>
      <c r="E2"/>
    </row>
    <row r="3" spans="1:1" x14ac:dyDescent="0.25"/>
    <row r="4" ht="27.75" customHeight="1" spans="1:5" x14ac:dyDescent="0.25">
      <c r="A4" s="6" t="s">
        <v>34</v>
      </c>
      <c r="B4" s="6" t="s">
        <v>35</v>
      </c>
      <c r="C4" s="6" t="s">
        <v>36</v>
      </c>
      <c r="D4" s="6" t="s">
        <v>367</v>
      </c>
      <c r="E4" s="6" t="s">
        <v>368</v>
      </c>
    </row>
    <row r="5" spans="1:5" x14ac:dyDescent="0.25">
      <c r="A5" s="4" t="s">
        <v>37</v>
      </c>
      <c r="B5" s="4" t="s">
        <v>38</v>
      </c>
      <c r="C5" s="4" t="s">
        <v>39</v>
      </c>
      <c r="D5" s="4">
        <f>'A - Switchgear &amp; SMDBs'!G47</f>
        <v>0</v>
      </c>
      <c r="E5" s="4" t="s">
        <v>369</v>
      </c>
    </row>
    <row r="6" spans="1:5" x14ac:dyDescent="0.25">
      <c r="A6" s="15" t="s">
        <v>40</v>
      </c>
      <c r="B6" s="15" t="s">
        <v>41</v>
      </c>
      <c r="C6" s="15" t="s">
        <v>42</v>
      </c>
      <c r="D6" s="15">
        <f>'B - Distribution Boards'!G25</f>
        <v>0</v>
      </c>
      <c r="E6" s="15" t="s">
        <v>370</v>
      </c>
    </row>
    <row r="7" spans="1:5" x14ac:dyDescent="0.25">
      <c r="A7" s="4" t="s">
        <v>43</v>
      </c>
      <c r="B7" s="4" t="s">
        <v>371</v>
      </c>
      <c r="C7" s="4" t="s">
        <v>45</v>
      </c>
      <c r="D7" s="4">
        <f>'C - Main Cables (LV to SMDB)'!G43</f>
        <v>0</v>
      </c>
      <c r="E7" s="4" t="s">
        <v>372</v>
      </c>
    </row>
    <row r="8" spans="1:5" x14ac:dyDescent="0.25">
      <c r="A8" s="15" t="s">
        <v>46</v>
      </c>
      <c r="B8" s="15" t="s">
        <v>373</v>
      </c>
      <c r="C8" s="15" t="s">
        <v>48</v>
      </c>
      <c r="D8" s="15">
        <f>'D - Distribution Cables'!G32</f>
        <v>0</v>
      </c>
      <c r="E8" s="15" t="s">
        <v>374</v>
      </c>
    </row>
    <row r="9" spans="1:5" x14ac:dyDescent="0.25">
      <c r="A9" s="4" t="s">
        <v>49</v>
      </c>
      <c r="B9" s="4" t="s">
        <v>50</v>
      </c>
      <c r="C9" s="4" t="s">
        <v>51</v>
      </c>
      <c r="D9" s="4">
        <f>'E - Cable Management'!G18</f>
        <v>0</v>
      </c>
      <c r="E9" s="4" t="s">
        <v>375</v>
      </c>
    </row>
    <row r="10" spans="1:5" x14ac:dyDescent="0.25">
      <c r="A10" s="15" t="s">
        <v>52</v>
      </c>
      <c r="B10" s="15" t="s">
        <v>53</v>
      </c>
      <c r="C10" s="15" t="s">
        <v>54</v>
      </c>
      <c r="D10" s="15">
        <f>'F - Earthing &amp; Bonding'!G15</f>
        <v>0</v>
      </c>
      <c r="E10" s="15" t="s">
        <v>376</v>
      </c>
    </row>
    <row r="11" spans="1:5" x14ac:dyDescent="0.25">
      <c r="A11" s="4" t="s">
        <v>55</v>
      </c>
      <c r="B11" s="4" t="s">
        <v>377</v>
      </c>
      <c r="C11" s="4" t="s">
        <v>57</v>
      </c>
      <c r="D11" s="4">
        <f>'G - Sundries &amp; T&amp;C'!G24</f>
        <v>0</v>
      </c>
      <c r="E11" s="4" t="s">
        <v>378</v>
      </c>
    </row>
    <row r="12" spans="1:5" x14ac:dyDescent="0.25">
      <c r="A12" s="18" t="s">
        <v>379</v>
      </c>
      <c r="B12"/>
      <c r="C12"/>
      <c r="D12" s="23">
        <f>SUM(D5:D11)</f>
        <v>0</v>
      </c>
      <c r="E12" s="18" t="s">
        <v>98</v>
      </c>
    </row>
    <row r="13" spans="1:5" x14ac:dyDescent="0.25">
      <c r="A13" s="18" t="s">
        <v>380</v>
      </c>
      <c r="B13"/>
      <c r="C13"/>
      <c r="D13" s="23">
        <f>D12*0.1</f>
        <v>0</v>
      </c>
      <c r="E13" s="18" t="s">
        <v>98</v>
      </c>
    </row>
    <row r="14" spans="1:5" x14ac:dyDescent="0.25">
      <c r="A14" s="18" t="s">
        <v>381</v>
      </c>
      <c r="B14"/>
      <c r="C14"/>
      <c r="D14" s="23">
        <f>(D12+D13)*0.05</f>
        <v>0</v>
      </c>
      <c r="E14" s="18" t="s">
        <v>98</v>
      </c>
    </row>
    <row r="15" ht="26" customHeight="1" spans="1:5" x14ac:dyDescent="0.25">
      <c r="A15" s="20" t="s">
        <v>382</v>
      </c>
      <c r="B15"/>
      <c r="C15"/>
      <c r="D15" s="24">
        <f>D12+D13+D14</f>
        <v>0</v>
      </c>
      <c r="E15" s="20" t="s">
        <v>98</v>
      </c>
    </row>
    <row r="16" spans="1:1" x14ac:dyDescent="0.25"/>
    <row r="17" ht="28" customHeight="1" spans="1:5" x14ac:dyDescent="0.25">
      <c r="A17" s="25" t="s">
        <v>383</v>
      </c>
      <c r="B17"/>
      <c r="C17"/>
      <c r="D17"/>
      <c r="E17"/>
    </row>
  </sheetData>
  <mergeCells count="7">
    <mergeCell ref="A1:E1"/>
    <mergeCell ref="A2:E2"/>
    <mergeCell ref="A12:C12"/>
    <mergeCell ref="A13:C13"/>
    <mergeCell ref="A14:C14"/>
    <mergeCell ref="A15:C15"/>
    <mergeCell ref="A17:E17"/>
  </mergeCells>
  <printOptions horizontalCentered="1"/>
  <pageMargins left="0.4" right="0.4" top="0.5" bottom="0.5" header="0.3" footer="0.3"/>
  <pageSetup paperSize="9" orientation="portrait" fitToWidth="1" fitToHeight="0"/>
  <headerFooter>
    <oddHeader>&amp;L&amp;"Arial,Bold"&amp;12Proposed B+G+8+R Commercial &amp; Residential Building&amp;R&amp;"Arial,Italic"&amp;10Job FA_P379 / CRs B/010/25</oddHeader>
    <oddFooter>&amp;LBOQ Summary&amp;RPage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7" customWidth="1"/>
    <col min="2" max="2" width="55" customWidth="1"/>
    <col min="3" max="3" width="18" customWidth="1"/>
    <col min="4" max="5" width="8" customWidth="1"/>
    <col min="6" max="6" width="14" customWidth="1"/>
    <col min="7" max="7" width="16" customWidth="1"/>
    <col min="8" max="8" width="30" customWidth="1"/>
  </cols>
  <sheetData>
    <row r="1" ht="27.75" customHeight="1" spans="1:8" x14ac:dyDescent="0.25">
      <c r="A1" s="1" t="s">
        <v>384</v>
      </c>
      <c r="B1"/>
      <c r="C1"/>
      <c r="D1"/>
      <c r="E1"/>
      <c r="F1"/>
      <c r="G1"/>
      <c r="H1"/>
    </row>
    <row r="2" ht="13.5" customHeight="1" spans="1:8" x14ac:dyDescent="0.25">
      <c r="A2" s="10" t="s">
        <v>67</v>
      </c>
      <c r="B2"/>
      <c r="C2"/>
      <c r="D2"/>
      <c r="E2"/>
      <c r="F2"/>
      <c r="G2"/>
      <c r="H2"/>
    </row>
    <row r="3" ht="27.75" customHeight="1" spans="1:8" x14ac:dyDescent="0.25">
      <c r="A3" s="6" t="s">
        <v>68</v>
      </c>
      <c r="B3" s="6" t="s">
        <v>35</v>
      </c>
      <c r="C3" s="6" t="s">
        <v>69</v>
      </c>
      <c r="D3" s="6" t="s">
        <v>70</v>
      </c>
      <c r="E3" s="6" t="s">
        <v>71</v>
      </c>
      <c r="F3" s="6" t="s">
        <v>72</v>
      </c>
      <c r="G3" s="6" t="s">
        <v>73</v>
      </c>
      <c r="H3" s="6" t="s">
        <v>74</v>
      </c>
    </row>
    <row r="4" ht="19.5" customHeight="1" spans="1:8" x14ac:dyDescent="0.25">
      <c r="A4" s="5" t="s">
        <v>385</v>
      </c>
      <c r="B4"/>
      <c r="C4"/>
      <c r="D4"/>
      <c r="E4"/>
      <c r="F4"/>
      <c r="G4"/>
      <c r="H4"/>
    </row>
    <row r="5" ht="44" customHeight="1" spans="1:8" x14ac:dyDescent="0.25">
      <c r="A5" s="11" t="s">
        <v>386</v>
      </c>
      <c r="B5" s="4" t="s">
        <v>387</v>
      </c>
      <c r="C5" s="4" t="s">
        <v>83</v>
      </c>
      <c r="D5" s="12" t="s">
        <v>79</v>
      </c>
      <c r="E5" s="13">
        <v>2</v>
      </c>
      <c r="F5" s="13">
        <v>14</v>
      </c>
      <c r="G5" s="13">
        <f>IF(OR(E5="",F5=""),"",E5*F5)</f>
      </c>
      <c r="H5" s="4" t="s">
        <v>98</v>
      </c>
    </row>
    <row r="6" ht="44" customHeight="1" spans="1:8" x14ac:dyDescent="0.25">
      <c r="A6" s="14" t="s">
        <v>388</v>
      </c>
      <c r="B6" s="15" t="s">
        <v>389</v>
      </c>
      <c r="C6" s="15" t="s">
        <v>83</v>
      </c>
      <c r="D6" s="16" t="s">
        <v>79</v>
      </c>
      <c r="E6" s="17">
        <v>4</v>
      </c>
      <c r="F6" s="17">
        <v>640</v>
      </c>
      <c r="G6" s="17">
        <f>IF(OR(E6="",F6=""),"",E6*F6)</f>
      </c>
      <c r="H6" s="15" t="s">
        <v>98</v>
      </c>
    </row>
    <row r="7" ht="44" customHeight="1" spans="1:8" x14ac:dyDescent="0.25">
      <c r="A7" s="11" t="s">
        <v>390</v>
      </c>
      <c r="B7" s="4" t="s">
        <v>391</v>
      </c>
      <c r="C7" s="4" t="s">
        <v>83</v>
      </c>
      <c r="D7" s="12" t="s">
        <v>228</v>
      </c>
      <c r="E7" s="13">
        <v>30</v>
      </c>
      <c r="F7" s="13">
        <v>36</v>
      </c>
      <c r="G7" s="13">
        <f>IF(OR(E7="",F7=""),"",E7*F7)</f>
      </c>
      <c r="H7" s="4" t="s">
        <v>98</v>
      </c>
    </row>
    <row r="8" ht="44" customHeight="1" spans="1:8" x14ac:dyDescent="0.25">
      <c r="A8" s="14" t="s">
        <v>392</v>
      </c>
      <c r="B8" s="15" t="s">
        <v>393</v>
      </c>
      <c r="C8" s="15" t="s">
        <v>83</v>
      </c>
      <c r="D8" s="16" t="s">
        <v>228</v>
      </c>
      <c r="E8" s="17">
        <v>40</v>
      </c>
      <c r="F8" s="17">
        <v>23</v>
      </c>
      <c r="G8" s="17">
        <f>IF(OR(E8="",F8=""),"",E8*F8)</f>
      </c>
      <c r="H8" s="15" t="s">
        <v>98</v>
      </c>
    </row>
    <row r="9" ht="18" customHeight="1" spans="1:8" x14ac:dyDescent="0.25">
      <c r="A9" s="11" t="s">
        <v>394</v>
      </c>
      <c r="B9" s="4" t="s">
        <v>395</v>
      </c>
      <c r="C9" s="4" t="s">
        <v>83</v>
      </c>
      <c r="D9" s="12" t="s">
        <v>228</v>
      </c>
      <c r="E9" s="13">
        <v>400</v>
      </c>
      <c r="F9" s="13">
        <v>17</v>
      </c>
      <c r="G9" s="13">
        <f>IF(OR(E9="",F9=""),"",E9*F9)</f>
      </c>
      <c r="H9" s="4" t="s">
        <v>98</v>
      </c>
    </row>
    <row r="10" ht="44" customHeight="1" spans="1:8" x14ac:dyDescent="0.25">
      <c r="A10" s="14" t="s">
        <v>396</v>
      </c>
      <c r="B10" s="15" t="s">
        <v>397</v>
      </c>
      <c r="C10" s="15" t="s">
        <v>83</v>
      </c>
      <c r="D10" s="16" t="s">
        <v>228</v>
      </c>
      <c r="E10" s="17">
        <v>600</v>
      </c>
      <c r="F10" s="17">
        <v>6</v>
      </c>
      <c r="G10" s="17">
        <f>IF(OR(E10="",F10=""),"",E10*F10)</f>
      </c>
      <c r="H10" s="15" t="s">
        <v>98</v>
      </c>
    </row>
    <row r="11" ht="44" customHeight="1" spans="1:8" x14ac:dyDescent="0.25">
      <c r="A11" s="11" t="s">
        <v>398</v>
      </c>
      <c r="B11" s="4" t="s">
        <v>399</v>
      </c>
      <c r="C11" s="4" t="s">
        <v>83</v>
      </c>
      <c r="D11" s="12" t="s">
        <v>68</v>
      </c>
      <c r="E11" s="13">
        <v>1</v>
      </c>
      <c r="F11" s="13">
        <v>11</v>
      </c>
      <c r="G11" s="13">
        <f>IF(OR(E11="",F11=""),"",E11*F11)</f>
      </c>
      <c r="H11" s="4" t="s">
        <v>98</v>
      </c>
    </row>
    <row r="12" ht="19.5" customHeight="1" spans="1:8" x14ac:dyDescent="0.25">
      <c r="A12" s="18" t="s">
        <v>400</v>
      </c>
      <c r="B12"/>
      <c r="C12"/>
      <c r="D12"/>
      <c r="E12"/>
      <c r="F12"/>
      <c r="G12" s="19">
        <f>SUM(G5:G11)</f>
      </c>
      <c r="H12" s="18" t="s">
        <v>98</v>
      </c>
    </row>
    <row r="13" spans="1:1" x14ac:dyDescent="0.25"/>
    <row r="14" spans="1:1" x14ac:dyDescent="0.25"/>
    <row r="15" ht="24" customHeight="1" spans="1:8" x14ac:dyDescent="0.25">
      <c r="A15" s="20" t="s">
        <v>401</v>
      </c>
      <c r="B15"/>
      <c r="C15"/>
      <c r="D15"/>
      <c r="E15"/>
      <c r="F15"/>
      <c r="G15" s="21">
        <f>SUMIF(G4:G13,"&lt;&gt;")</f>
      </c>
      <c r="H15" s="20" t="s">
        <v>98</v>
      </c>
    </row>
  </sheetData>
  <mergeCells count="5">
    <mergeCell ref="A1:H1"/>
    <mergeCell ref="A2:H2"/>
    <mergeCell ref="A4:H4"/>
    <mergeCell ref="A12:F12"/>
    <mergeCell ref="A15:F15"/>
  </mergeCells>
  <printOptions horizontalCentered="1"/>
  <pageMargins left="0.4" right="0.4" top="0.5" bottom="0.5" header="0.3" footer="0.3"/>
  <pageSetup paperSize="9" orientation="portrait" fitToWidth="1" fitToHeight="0"/>
  <headerFooter>
    <oddHeader>&amp;L&amp;"Arial,Bold"&amp;12Proposed B+G+8+R Commercial &amp; Residential Building&amp;R&amp;"Arial,Italic"&amp;10Job FA_P379 / CRs B/010/25</oddHeader>
    <oddFooter>&amp;LSection F — EARTHING &amp; BONDING&amp;RPage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7" customWidth="1"/>
    <col min="2" max="2" width="55" customWidth="1"/>
    <col min="3" max="3" width="18" customWidth="1"/>
    <col min="4" max="5" width="8" customWidth="1"/>
    <col min="6" max="6" width="14" customWidth="1"/>
    <col min="7" max="7" width="16" customWidth="1"/>
    <col min="8" max="8" width="30" customWidth="1"/>
  </cols>
  <sheetData>
    <row r="1" ht="27.75" customHeight="1" spans="1:8" x14ac:dyDescent="0.25">
      <c r="A1" s="1" t="s">
        <v>402</v>
      </c>
      <c r="B1"/>
      <c r="C1"/>
      <c r="D1"/>
      <c r="E1"/>
      <c r="F1"/>
      <c r="G1"/>
      <c r="H1"/>
    </row>
    <row r="2" ht="13.5" customHeight="1" spans="1:8" x14ac:dyDescent="0.25">
      <c r="A2" s="10" t="s">
        <v>67</v>
      </c>
      <c r="B2"/>
      <c r="C2"/>
      <c r="D2"/>
      <c r="E2"/>
      <c r="F2"/>
      <c r="G2"/>
      <c r="H2"/>
    </row>
    <row r="3" ht="27.75" customHeight="1" spans="1:8" x14ac:dyDescent="0.25">
      <c r="A3" s="6" t="s">
        <v>68</v>
      </c>
      <c r="B3" s="6" t="s">
        <v>35</v>
      </c>
      <c r="C3" s="6" t="s">
        <v>69</v>
      </c>
      <c r="D3" s="6" t="s">
        <v>70</v>
      </c>
      <c r="E3" s="6" t="s">
        <v>71</v>
      </c>
      <c r="F3" s="6" t="s">
        <v>72</v>
      </c>
      <c r="G3" s="6" t="s">
        <v>73</v>
      </c>
      <c r="H3" s="6" t="s">
        <v>74</v>
      </c>
    </row>
    <row r="4" ht="19.5" customHeight="1" spans="1:8" x14ac:dyDescent="0.25">
      <c r="A4" s="5" t="s">
        <v>403</v>
      </c>
      <c r="B4"/>
      <c r="C4"/>
      <c r="D4"/>
      <c r="E4"/>
      <c r="F4"/>
      <c r="G4"/>
      <c r="H4"/>
    </row>
    <row r="5" ht="44" customHeight="1" spans="1:8" x14ac:dyDescent="0.25">
      <c r="A5" s="11" t="s">
        <v>404</v>
      </c>
      <c r="B5" s="4" t="s">
        <v>405</v>
      </c>
      <c r="C5" s="4" t="s">
        <v>406</v>
      </c>
      <c r="D5" s="12" t="s">
        <v>68</v>
      </c>
      <c r="E5" s="13">
        <v>1</v>
      </c>
      <c r="F5" s="13">
        <v>18000</v>
      </c>
      <c r="G5" s="13">
        <f>IF(OR(E5="",F5=""),"",E5*F5)</f>
      </c>
      <c r="H5" s="4" t="s">
        <v>98</v>
      </c>
    </row>
    <row r="6" ht="44" customHeight="1" spans="1:8" x14ac:dyDescent="0.25">
      <c r="A6" s="14" t="s">
        <v>407</v>
      </c>
      <c r="B6" s="15" t="s">
        <v>408</v>
      </c>
      <c r="C6" s="15" t="s">
        <v>406</v>
      </c>
      <c r="D6" s="16" t="s">
        <v>68</v>
      </c>
      <c r="E6" s="17">
        <v>1</v>
      </c>
      <c r="F6" s="17">
        <v>510</v>
      </c>
      <c r="G6" s="17">
        <f>IF(OR(E6="",F6=""),"",E6*F6)</f>
      </c>
      <c r="H6" s="15" t="s">
        <v>98</v>
      </c>
    </row>
    <row r="7" ht="44" customHeight="1" spans="1:8" x14ac:dyDescent="0.25">
      <c r="A7" s="11" t="s">
        <v>409</v>
      </c>
      <c r="B7" s="4" t="s">
        <v>410</v>
      </c>
      <c r="C7" s="4" t="s">
        <v>406</v>
      </c>
      <c r="D7" s="12" t="s">
        <v>68</v>
      </c>
      <c r="E7" s="13">
        <v>1</v>
      </c>
      <c r="F7" s="13">
        <v>28000</v>
      </c>
      <c r="G7" s="13">
        <f>IF(OR(E7="",F7=""),"",E7*F7)</f>
      </c>
      <c r="H7" s="4" t="s">
        <v>98</v>
      </c>
    </row>
    <row r="8" ht="44" customHeight="1" spans="1:8" x14ac:dyDescent="0.25">
      <c r="A8" s="14" t="s">
        <v>411</v>
      </c>
      <c r="B8" s="15" t="s">
        <v>412</v>
      </c>
      <c r="C8" s="15" t="s">
        <v>406</v>
      </c>
      <c r="D8" s="16" t="s">
        <v>79</v>
      </c>
      <c r="E8" s="17">
        <v>12</v>
      </c>
      <c r="F8" s="17">
        <v>4500</v>
      </c>
      <c r="G8" s="17">
        <f>IF(OR(E8="",F8=""),"",E8*F8)</f>
      </c>
      <c r="H8" s="15" t="s">
        <v>98</v>
      </c>
    </row>
    <row r="9" ht="18" customHeight="1" spans="1:8" x14ac:dyDescent="0.25">
      <c r="A9" s="11" t="s">
        <v>413</v>
      </c>
      <c r="B9" s="4" t="s">
        <v>414</v>
      </c>
      <c r="C9" s="4" t="s">
        <v>406</v>
      </c>
      <c r="D9" s="12" t="s">
        <v>415</v>
      </c>
      <c r="E9" s="13">
        <v>1</v>
      </c>
      <c r="F9" s="13">
        <v>85000</v>
      </c>
      <c r="G9" s="13">
        <f>IF(OR(E9="",F9=""),"",E9*F9)</f>
      </c>
      <c r="H9" s="4" t="s">
        <v>98</v>
      </c>
    </row>
    <row r="10" ht="19.5" customHeight="1" spans="1:8" x14ac:dyDescent="0.25">
      <c r="A10" s="18" t="s">
        <v>416</v>
      </c>
      <c r="B10"/>
      <c r="C10"/>
      <c r="D10"/>
      <c r="E10"/>
      <c r="F10"/>
      <c r="G10" s="19">
        <f>SUM(G5:G9)</f>
      </c>
      <c r="H10" s="18" t="s">
        <v>98</v>
      </c>
    </row>
    <row r="11" spans="1:1" x14ac:dyDescent="0.25"/>
    <row r="12" ht="19.5" customHeight="1" spans="1:8" x14ac:dyDescent="0.25">
      <c r="A12" s="5" t="s">
        <v>417</v>
      </c>
      <c r="B12"/>
      <c r="C12"/>
      <c r="D12"/>
      <c r="E12"/>
      <c r="F12"/>
      <c r="G12"/>
      <c r="H12"/>
    </row>
    <row r="13" ht="18" customHeight="1" spans="1:8" x14ac:dyDescent="0.25">
      <c r="A13" s="11" t="s">
        <v>418</v>
      </c>
      <c r="B13" s="4" t="s">
        <v>419</v>
      </c>
      <c r="C13" s="4" t="s">
        <v>420</v>
      </c>
      <c r="D13" s="12" t="s">
        <v>68</v>
      </c>
      <c r="E13" s="13">
        <v>1</v>
      </c>
      <c r="F13" s="13">
        <v>18000</v>
      </c>
      <c r="G13" s="13">
        <f>IF(OR(E13="",F13=""),"",E13*F13)</f>
      </c>
      <c r="H13" s="4" t="s">
        <v>98</v>
      </c>
    </row>
    <row r="14" ht="18" customHeight="1" spans="1:8" x14ac:dyDescent="0.25">
      <c r="A14" s="14" t="s">
        <v>421</v>
      </c>
      <c r="B14" s="15" t="s">
        <v>422</v>
      </c>
      <c r="C14" s="15" t="s">
        <v>420</v>
      </c>
      <c r="D14" s="16" t="s">
        <v>68</v>
      </c>
      <c r="E14" s="17">
        <v>1</v>
      </c>
      <c r="F14" s="17">
        <v>12000</v>
      </c>
      <c r="G14" s="17">
        <f>IF(OR(E14="",F14=""),"",E14*F14)</f>
      </c>
      <c r="H14" s="15" t="s">
        <v>98</v>
      </c>
    </row>
    <row r="15" ht="18" customHeight="1" spans="1:8" x14ac:dyDescent="0.25">
      <c r="A15" s="11" t="s">
        <v>423</v>
      </c>
      <c r="B15" s="4" t="s">
        <v>424</v>
      </c>
      <c r="C15" s="4" t="s">
        <v>420</v>
      </c>
      <c r="D15" s="12" t="s">
        <v>68</v>
      </c>
      <c r="E15" s="13">
        <v>1</v>
      </c>
      <c r="F15" s="13">
        <v>8500</v>
      </c>
      <c r="G15" s="13">
        <f>IF(OR(E15="",F15=""),"",E15*F15)</f>
      </c>
      <c r="H15" s="4" t="s">
        <v>98</v>
      </c>
    </row>
    <row r="16" ht="18" customHeight="1" spans="1:8" x14ac:dyDescent="0.25">
      <c r="A16" s="14" t="s">
        <v>425</v>
      </c>
      <c r="B16" s="15" t="s">
        <v>426</v>
      </c>
      <c r="C16" s="15" t="s">
        <v>420</v>
      </c>
      <c r="D16" s="16" t="s">
        <v>68</v>
      </c>
      <c r="E16" s="17">
        <v>1</v>
      </c>
      <c r="F16" s="17">
        <v>5500</v>
      </c>
      <c r="G16" s="17">
        <f>IF(OR(E16="",F16=""),"",E16*F16)</f>
      </c>
      <c r="H16" s="15" t="s">
        <v>98</v>
      </c>
    </row>
    <row r="17" ht="44" customHeight="1" spans="1:8" x14ac:dyDescent="0.25">
      <c r="A17" s="11" t="s">
        <v>427</v>
      </c>
      <c r="B17" s="4" t="s">
        <v>428</v>
      </c>
      <c r="C17" s="4" t="s">
        <v>420</v>
      </c>
      <c r="D17" s="12" t="s">
        <v>68</v>
      </c>
      <c r="E17" s="13">
        <v>1</v>
      </c>
      <c r="F17" s="13">
        <v>80000</v>
      </c>
      <c r="G17" s="13">
        <f>IF(OR(E17="",F17=""),"",E17*F17)</f>
      </c>
      <c r="H17" s="4" t="s">
        <v>98</v>
      </c>
    </row>
    <row r="18" ht="44" customHeight="1" spans="1:8" x14ac:dyDescent="0.25">
      <c r="A18" s="14" t="s">
        <v>429</v>
      </c>
      <c r="B18" s="15" t="s">
        <v>430</v>
      </c>
      <c r="C18" s="15" t="s">
        <v>420</v>
      </c>
      <c r="D18" s="16" t="s">
        <v>68</v>
      </c>
      <c r="E18" s="17">
        <v>1</v>
      </c>
      <c r="F18" s="17">
        <v>8500</v>
      </c>
      <c r="G18" s="17">
        <f>IF(OR(E18="",F18=""),"",E18*F18)</f>
      </c>
      <c r="H18" s="15" t="s">
        <v>98</v>
      </c>
    </row>
    <row r="19" ht="44" customHeight="1" spans="1:8" x14ac:dyDescent="0.25">
      <c r="A19" s="11" t="s">
        <v>431</v>
      </c>
      <c r="B19" s="4" t="s">
        <v>432</v>
      </c>
      <c r="C19" s="4" t="s">
        <v>420</v>
      </c>
      <c r="D19" s="12" t="s">
        <v>415</v>
      </c>
      <c r="E19" s="13">
        <v>1</v>
      </c>
      <c r="F19" s="13"/>
      <c r="G19" s="13">
        <f>IF(OR(E19="",F19=""),"",E19*F19)</f>
      </c>
      <c r="H19" s="4" t="s">
        <v>98</v>
      </c>
    </row>
    <row r="20" ht="44" customHeight="1" spans="1:8" x14ac:dyDescent="0.25">
      <c r="A20" s="14" t="s">
        <v>433</v>
      </c>
      <c r="B20" s="15" t="s">
        <v>434</v>
      </c>
      <c r="C20" s="15" t="s">
        <v>420</v>
      </c>
      <c r="D20" s="16" t="s">
        <v>68</v>
      </c>
      <c r="E20" s="17">
        <v>1</v>
      </c>
      <c r="F20" s="17">
        <v>38000</v>
      </c>
      <c r="G20" s="17">
        <f>IF(OR(E20="",F20=""),"",E20*F20)</f>
      </c>
      <c r="H20" s="15" t="s">
        <v>98</v>
      </c>
    </row>
    <row r="21" ht="19.5" customHeight="1" spans="1:8" x14ac:dyDescent="0.25">
      <c r="A21" s="18" t="s">
        <v>435</v>
      </c>
      <c r="B21"/>
      <c r="C21"/>
      <c r="D21"/>
      <c r="E21"/>
      <c r="F21"/>
      <c r="G21" s="19">
        <f>SUM(G13:G20)</f>
      </c>
      <c r="H21" s="18" t="s">
        <v>98</v>
      </c>
    </row>
    <row r="22" spans="1:1" x14ac:dyDescent="0.25"/>
    <row r="23" spans="1:1" x14ac:dyDescent="0.25"/>
    <row r="24" ht="24" customHeight="1" spans="1:8" x14ac:dyDescent="0.25">
      <c r="A24" s="20" t="s">
        <v>436</v>
      </c>
      <c r="B24"/>
      <c r="C24"/>
      <c r="D24"/>
      <c r="E24"/>
      <c r="F24"/>
      <c r="G24" s="21">
        <f>SUMIF(G4:G22,"&lt;&gt;")</f>
      </c>
      <c r="H24" s="20" t="s">
        <v>98</v>
      </c>
    </row>
  </sheetData>
  <mergeCells count="7">
    <mergeCell ref="A1:H1"/>
    <mergeCell ref="A2:H2"/>
    <mergeCell ref="A4:H4"/>
    <mergeCell ref="A10:F10"/>
    <mergeCell ref="A12:H12"/>
    <mergeCell ref="A21:F21"/>
    <mergeCell ref="A24:F24"/>
  </mergeCells>
  <printOptions horizontalCentered="1"/>
  <pageMargins left="0.4" right="0.4" top="0.5" bottom="0.5" header="0.3" footer="0.3"/>
  <pageSetup paperSize="9" orientation="portrait" fitToWidth="1" fitToHeight="0"/>
  <headerFooter>
    <oddHeader>&amp;L&amp;"Arial,Bold"&amp;12Proposed B+G+8+R Commercial &amp; Residential Building&amp;R&amp;"Arial,Italic"&amp;10Job FA_P379 / CRs B/010/25</oddHeader>
    <oddFooter>&amp;LSection G — SUNDRIES, ACCESSORIES &amp; TESTING/COMMISSIONING&amp;RPage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A - Switchgear &amp; SMDBs</vt:lpstr>
      <vt:lpstr>B - Distribution Boards</vt:lpstr>
      <vt:lpstr>C - Main Cables (LV to SMDB)</vt:lpstr>
      <vt:lpstr>D - Distribution Cables</vt:lpstr>
      <vt:lpstr>E - Cable Management</vt:lpstr>
      <vt:lpstr>Summary of BOQ</vt:lpstr>
      <vt:lpstr>F - Earthing &amp; Bonding</vt:lpstr>
      <vt:lpstr>G - Sundries &amp; T&amp;C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 Engineering &amp; Contracting LLC</dc:creator>
  <dc:title/>
  <dc:subject/>
  <dc:description/>
  <cp:keywords/>
  <cp:category/>
  <cp:lastModifiedBy>SABI Engineering &amp; Contracting LLC</cp:lastModifiedBy>
  <dcterms:created xsi:type="dcterms:W3CDTF">2026-05-05T08:41:47Z</dcterms:created>
  <dcterms:modified xsi:type="dcterms:W3CDTF">2026-05-05T08:41:47Z</dcterms:modified>
</cp:coreProperties>
</file>