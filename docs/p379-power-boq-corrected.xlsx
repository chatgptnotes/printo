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over" state="visible" r:id="rId4"/>
    <sheet sheetId="2" name="Preamble &amp; Standards" state="visible" r:id="rId5"/>
    <sheet sheetId="3" name="Bill 1 - Preliminaries" state="visible" r:id="rId6"/>
    <sheet sheetId="4" name="Bill 2 - HV-LV Main" state="visible" r:id="rId7"/>
    <sheet sheetId="5" name="Bill 3 - SMDBs" state="visible" r:id="rId8"/>
    <sheet sheetId="6" name="Bill 4 - Distribution Boards" state="visible" r:id="rId9"/>
    <sheet sheetId="7" name="Bill 5 - LV Cables" state="visible" r:id="rId10"/>
    <sheet sheetId="8" name="Bill 6 - Containment" state="visible" r:id="rId11"/>
    <sheet sheetId="9" name="Bill 7 - Wiring Devices" state="visible" r:id="rId12"/>
    <sheet sheetId="10" name="Bill 8 - Lighting Fixtures" state="visible" r:id="rId13"/>
    <sheet sheetId="11" name="Bill 9 - Earthing &amp; LP" state="visible" r:id="rId14"/>
    <sheet sheetId="12" name="Bill 10 - Emergency Lighting" state="visible" r:id="rId15"/>
    <sheet sheetId="13" name="Bill 11 - ELV Containment" state="visible" r:id="rId16"/>
    <sheet sheetId="14" name="Bill 12 - Metering" state="visible" r:id="rId17"/>
    <sheet sheetId="15" name="Bill 13 - Test &amp; Commissioning" state="visible" r:id="rId18"/>
    <sheet sheetId="16" name="Summary of Bills" state="visible" r:id="rId19"/>
  </sheets>
  <definedNames>
    <definedName name="_xlnm.Print_Titles" localSheetId="2">'Bill 1 - Preliminaries'!$1:$3</definedName>
    <definedName name="_xlnm.Print_Titles" localSheetId="3">'Bill 2 - HV-LV Main'!$1:$3</definedName>
    <definedName name="_xlnm.Print_Titles" localSheetId="4">'Bill 3 - SMDBs'!$1:$3</definedName>
    <definedName name="_xlnm.Print_Titles" localSheetId="5">'Bill 4 - Distribution Boards'!$1:$3</definedName>
    <definedName name="_xlnm.Print_Titles" localSheetId="6">'Bill 5 - LV Cables'!$1:$3</definedName>
    <definedName name="_xlnm.Print_Titles" localSheetId="7">'Bill 6 - Containment'!$1:$3</definedName>
    <definedName name="_xlnm.Print_Titles" localSheetId="8">'Bill 7 - Wiring Devices'!$1:$3</definedName>
    <definedName name="_xlnm.Print_Titles" localSheetId="9">'Bill 8 - Lighting Fixtures'!$1:$3</definedName>
    <definedName name="_xlnm.Print_Titles" localSheetId="10">'Bill 9 - Earthing &amp; LP'!$1:$3</definedName>
    <definedName name="_xlnm.Print_Titles" localSheetId="11">'Bill 10 - Emergency Lighting'!$1:$3</definedName>
    <definedName name="_xlnm.Print_Titles" localSheetId="12">'Bill 11 - ELV Containment'!$1:$3</definedName>
    <definedName name="_xlnm.Print_Titles" localSheetId="13">'Bill 12 - Metering'!$1:$3</definedName>
    <definedName name="_xlnm.Print_Titles" localSheetId="14">'Bill 13 - Test &amp; Commissioning'!$1:$3</definedName>
  </definedNames>
  <calcPr calcId="171027" fullCalcOnLoad="1"/>
</workbook>
</file>

<file path=xl/sharedStrings.xml><?xml version="1.0" encoding="utf-8"?>
<sst xmlns="http://schemas.openxmlformats.org/spreadsheetml/2006/main" count="3310" uniqueCount="1418">
  <si>
    <t>BILL OF QUANTITIES</t>
  </si>
  <si>
    <t>ELECTRICAL POWER DISTRIBUTION WORKS — DEWA AUTHORITY</t>
  </si>
  <si>
    <t>Project</t>
  </si>
  <si>
    <t>Proposed B+G+8+R Commercial &amp; Residential Building</t>
  </si>
  <si>
    <t>Owner / Client</t>
  </si>
  <si>
    <t>Qutaiba Ameen Abdal Kija</t>
  </si>
  <si>
    <t>Plot No.</t>
  </si>
  <si>
    <t>6731315 — Al Barsha South Third, Dubai, UAE</t>
  </si>
  <si>
    <t>MEP Consultant</t>
  </si>
  <si>
    <t>Future Art Engineering Consultancy</t>
  </si>
  <si>
    <t>Authority</t>
  </si>
  <si>
    <t>DEWA (Dubai Electricity &amp; Water Authority)</t>
  </si>
  <si>
    <t>TENDER DETAILS</t>
  </si>
  <si>
    <t>Job No.</t>
  </si>
  <si>
    <t>FA_P379 / CRs B/010/25</t>
  </si>
  <si>
    <t>Drawing Ref</t>
  </si>
  <si>
    <t>P-001 … P-300 (14 sheets, Power)</t>
  </si>
  <si>
    <t>Drawing Date</t>
  </si>
  <si>
    <t>19/06/2026</t>
  </si>
  <si>
    <t>BOQ Date</t>
  </si>
  <si>
    <t>Addendum No.</t>
  </si>
  <si>
    <t>0</t>
  </si>
  <si>
    <t>BOQ Status</t>
  </si>
  <si>
    <t>PRICED (INDICATIVE) — Dubai 2026 rates · POWER scope · review before submission</t>
  </si>
  <si>
    <t>Currency</t>
  </si>
  <si>
    <t>AED (UAE Dirham)</t>
  </si>
  <si>
    <t>VAT Rate</t>
  </si>
  <si>
    <t>5% (UAE Federal)</t>
  </si>
  <si>
    <t>CONTRACTOR DETAILS</t>
  </si>
  <si>
    <t>Contractor</t>
  </si>
  <si>
    <t>SABI Engineering &amp; Contracting LLC</t>
  </si>
  <si>
    <t>Address</t>
  </si>
  <si>
    <t>Dubai, United Arab Emirates</t>
  </si>
  <si>
    <t>Phone</t>
  </si>
  <si>
    <t>+971 4 XXX XXXX</t>
  </si>
  <si>
    <t>Email</t>
  </si>
  <si>
    <t>estimation@sabi.ae</t>
  </si>
  <si>
    <t>TRN</t>
  </si>
  <si>
    <t>100XXXXXXXXXXXXX</t>
  </si>
  <si>
    <t>LIST OF BILLS</t>
  </si>
  <si>
    <t>Bill</t>
  </si>
  <si>
    <t>Description</t>
  </si>
  <si>
    <t>Sheet</t>
  </si>
  <si>
    <t>General Items / Preliminaries</t>
  </si>
  <si>
    <t>Bill 1</t>
  </si>
  <si>
    <t>HV / LV Main Distribution (Transformer, MDB, Generator, ATS, Capacitors)</t>
  </si>
  <si>
    <t>Bill 2</t>
  </si>
  <si>
    <t>Sub-Main Distribution Boards (SMDBs)</t>
  </si>
  <si>
    <t>Bill 3</t>
  </si>
  <si>
    <t>Distribution Boards (DBs) &amp; Consumer Units</t>
  </si>
  <si>
    <t>Bill 4</t>
  </si>
  <si>
    <t>LV Power Cables (Main + Distribution + Final Circuits)</t>
  </si>
  <si>
    <t>Bill 5</t>
  </si>
  <si>
    <t>Cable Containment (Tray, Ladder, Trunking, Conduit)</t>
  </si>
  <si>
    <t>Bill 6</t>
  </si>
  <si>
    <t>Wiring Devices &amp; Accessories</t>
  </si>
  <si>
    <t>Bill 7</t>
  </si>
  <si>
    <t>Lighting Fixtures (Internal + External)</t>
  </si>
  <si>
    <t>Bill 8</t>
  </si>
  <si>
    <t>Earthing &amp; Lightning Protection</t>
  </si>
  <si>
    <t>Bill 9</t>
  </si>
  <si>
    <t>Emergency Lighting &amp; Life Safety</t>
  </si>
  <si>
    <t>Bill 10</t>
  </si>
  <si>
    <t>ELV Containment (Telephone, Data, CCTV, ACS, MATV, FA)</t>
  </si>
  <si>
    <t>Bill 11</t>
  </si>
  <si>
    <t>Metering &amp; Monitoring</t>
  </si>
  <si>
    <t>Bill 12</t>
  </si>
  <si>
    <t>Testing, Commissioning &amp; DEWA Approval</t>
  </si>
  <si>
    <t>Bill 13</t>
  </si>
  <si>
    <t>COMPLIANCE SUMMARY — what this BOQ already covers</t>
  </si>
  <si>
    <t>✓  DEWA Distribution Standards · Dubai Municipality (DM) · Dubai Civil Defence (DCD) — see Preamble Sheet § 0 Statutory Compliance</t>
  </si>
  <si>
    <t>✓  DEWA Smart Metering programme — Bill 12 (smart kWh meters single + three-phase, AMI-ready, MDM integration, Shams Dubai bi-directional, IEC 62052/62053)</t>
  </si>
  <si>
    <t>✓  UAE Federal VAT (5 %) — line on Summary of Bills sheet, computed via Excel formula on the pre-VAT total</t>
  </si>
  <si>
    <t>✓  Authority Fees &amp; NOCs — Bill 1.5 (DEWA connection / load-letter / energising · RTA road permit · DM completion fee · DCD NOC fee)</t>
  </si>
  <si>
    <t>✓  Central Battery System (CBS) — Bill 10.3 as alternative to self-contained luminaires; Fire Alarm / MEP integration — Bill 10.4 (shunt-trips, lift recall, dampers, mag-locks)</t>
  </si>
  <si>
    <t>✓  All ~280 priceable line items pre-priced with INDICATIVE Dubai 2026 rates — review each line against actual supplier quotation before submission</t>
  </si>
  <si>
    <t>✓  Origin / Brand column (H) pre-populated with Dubai AVL bands (Schneider/ABB/Siemens, Ducab/NCC, Itron/L+G, etc.) — overwrite with selected make at tender time</t>
  </si>
  <si>
    <t>✓  Drawing references (column C) mapped to specific P-001 … P-300 sheet numbers per item type (SLD / floor plan / LV-room / cable-tray detail)</t>
  </si>
  <si>
    <t>✓  Engineering corrections from PDF_vs_XLSX_Comparison.pdf applied: LVP-01 risers 150mm² · fire pump 185mm² FR · ESMDB-G 300mm² FR · building totals on Cover</t>
  </si>
  <si>
    <t>DATA PROVENANCE — measured from project drawings vs industry allowance</t>
  </si>
  <si>
    <t>📐  MEASURED</t>
  </si>
  <si>
    <t>derived from project drawings (P-001 … P-300) via the AI extraction — quantities and counts are project-specific</t>
  </si>
  <si>
    <t>📋  ALLOWANCE</t>
  </si>
  <si>
    <t>industry-standard template / fixture default — quantities are allowances based on building size, NOT counted from drawings — review before submission</t>
  </si>
  <si>
    <t>Source</t>
  </si>
  <si>
    <t>Notes</t>
  </si>
  <si>
    <t>Preliminaries + Authority Fees</t>
  </si>
  <si>
    <t>📋 ALLOWANCE</t>
  </si>
  <si>
    <t>Industry allowance (mob, insurance, submittals, DEWA/RTA/DM/DCD fees)</t>
  </si>
  <si>
    <t>Bill 2.1</t>
  </si>
  <si>
    <t>HV side (transformer / RMU / room civil)</t>
  </si>
  <si>
    <t>Industry template — transformer kVA sized from MD only</t>
  </si>
  <si>
    <t>Bill 2.2</t>
  </si>
  <si>
    <t>LV panels (LVP-01, LVP-02)</t>
  </si>
  <si>
    <t>📐 MEASURED</t>
  </si>
  <si>
    <t>From P-200 SLD — ACB ratings, MCCB schedules, capacitor banks</t>
  </si>
  <si>
    <t>Bill 2.3</t>
  </si>
  <si>
    <t>Generator + ATS</t>
  </si>
  <si>
    <t>From P-200 SLD — kVA + ATS rating</t>
  </si>
  <si>
    <t>Sub-Main Distribution Boards (26)</t>
  </si>
  <si>
    <t>From P-201 SLD — every SMDB tag, rating, floor, connected load</t>
  </si>
  <si>
    <t>Distribution Boards (107)</t>
  </si>
  <si>
    <t>From P-103…P-108 floor plans + P-201 SLD — DB groups, counts</t>
  </si>
  <si>
    <t>Bill 5.1</t>
  </si>
  <si>
    <t>XLPE LV→SMDB risers</t>
  </si>
  <si>
    <t>From cable_schedule — every run, size, length per AI extraction</t>
  </si>
  <si>
    <t>Bill 5.2</t>
  </si>
  <si>
    <t>Fire-Rated LV→SMDB</t>
  </si>
  <si>
    <t>From cable_schedule — with engineering corrections applied</t>
  </si>
  <si>
    <t>Bill 5.3</t>
  </si>
  <si>
    <t>XLPE SMDB→DB distribution</t>
  </si>
  <si>
    <t>From smdb_to_db_cables / cable_schedule (non-LV-source filter)</t>
  </si>
  <si>
    <t>Bill 5.4</t>
  </si>
  <si>
    <t>FR SMDB→DB distribution</t>
  </si>
  <si>
    <t>From smdb_to_db_cables / cable_schedule</t>
  </si>
  <si>
    <t>Bill 5.5</t>
  </si>
  <si>
    <t>LSZH escape-route final circuits</t>
  </si>
  <si>
    <t>Industry allowance — quantities by floor count × typical loop</t>
  </si>
  <si>
    <t>Bill 5.6</t>
  </si>
  <si>
    <t>Final-circuit bulk wiring</t>
  </si>
  <si>
    <t>Industry allowance — by sqft / DB count</t>
  </si>
  <si>
    <t>Bill 5.7</t>
  </si>
  <si>
    <t>ECC alongside risers</t>
  </si>
  <si>
    <t>Allowance — derived as % of main-cable total length</t>
  </si>
  <si>
    <t>Cable containment</t>
  </si>
  <si>
    <t>Industry allowance — tray / ladder / conduit lengths by sqft</t>
  </si>
  <si>
    <t>Wiring devices &amp; accessories</t>
  </si>
  <si>
    <t>Industry template — sockets / switches / outlets per typical floor count</t>
  </si>
  <si>
    <t>Lighting fixtures</t>
  </si>
  <si>
    <t>Industry template — no fixture legend read from drawings</t>
  </si>
  <si>
    <t>Industry allowance — TN-S system + LP per IEC 62305</t>
  </si>
  <si>
    <t>Bill 10.1</t>
  </si>
  <si>
    <t>Self-contained emergency luminaires</t>
  </si>
  <si>
    <t>Industry allowance — by floor count + escape route length</t>
  </si>
  <si>
    <t>Bill 10.2</t>
  </si>
  <si>
    <t>Life-safety power feeders</t>
  </si>
  <si>
    <t>Industry allowance — fire pump / smoke / pressurisation</t>
  </si>
  <si>
    <t>Bill 10.3</t>
  </si>
  <si>
    <t>Central Battery System (CBS)</t>
  </si>
  <si>
    <t>Industry option — provisional sum, sized to total emergency luminaire load</t>
  </si>
  <si>
    <t>Bill 10.4</t>
  </si>
  <si>
    <t>Fire Alarm / MEP integration</t>
  </si>
  <si>
    <t>DCD requirement — shunt-trips, lift recall, dampers (specialist coord)</t>
  </si>
  <si>
    <t>ELV containment</t>
  </si>
  <si>
    <t>Industry allowance — specialist trades (FA / BMS / CCTV / ACS / MATV)</t>
  </si>
  <si>
    <t>Smart metering</t>
  </si>
  <si>
    <t>DEWA Smart Grid programme — meter counts per tenant + landlord schedule</t>
  </si>
  <si>
    <t>Testing, Commissioning &amp; Authority</t>
  </si>
  <si>
    <t>Industry allowance — IR / continuity / ELI / RCD + DEWA + DM + DCD</t>
  </si>
  <si>
    <t>STATUS: PRICED (INDICATIVE) — Dubai 2026 rates · POWER scope · review before submission</t>
  </si>
  <si>
    <t>PREAMBLE &amp; APPLICABLE STANDARDS</t>
  </si>
  <si>
    <t>0. STATUTORY COMPLIANCE — UAE / DUBAI AUTHORITIES</t>
  </si>
  <si>
    <t>The works under this BOQ shall fully comply with the requirements of the following Dubai and UAE authorities. The contractor shall obtain all approvals, attend witnessed inspections, and submit all documentation required by each authority as part of the contract.</t>
  </si>
  <si>
    <t>Scope of compliance</t>
  </si>
  <si>
    <t>DEWA</t>
  </si>
  <si>
    <t>Dubai Electricity &amp; Water Authority — Distribution Standards, Service Connection Specifications, Smart Grid / Smart Metering programme, witnessed inspections, energising, meter sealing, As-Built filing.</t>
  </si>
  <si>
    <t>Dubai Municipality</t>
  </si>
  <si>
    <t>Building Code, Local Order 89/1994 (Building Regulations) and amendments, electrical safety inspections, occupancy / completion certificate clearance.</t>
  </si>
  <si>
    <t>DCD</t>
  </si>
  <si>
    <t>Dubai Civil Defence — UAE Fire &amp; Life Safety Code of Practice (latest edition); fire-rated containment, FR/LSZH cable selection, emergency lighting, fire-fighter's lift, smoke-control fan power supplies.</t>
  </si>
  <si>
    <t>UAE Federal</t>
  </si>
  <si>
    <t>Federal Tax Authority — VAT (5%) per UAE VAT Law (Federal Decree-Law No. 8 of 2017); MoCCAE / ESMA conformity certificates for electrical equipment placed on UAE market.</t>
  </si>
  <si>
    <t>1. SCOPE OF WORKS</t>
  </si>
  <si>
    <t>Supply, installation, testing and commissioning of the complete LV electrical distribution system, lighting, small power, earthing &amp; lightning protection, metering and life-safety related electrical installations for the project, in accordance with the tender drawings, specifications, applicable standards, and authority requirements (DEWA, Dubai Municipality, Dubai Civil Defence). The scope shall include all materials, labour, plant, supervision, transport, scaffolding, builder's work in connection, testing instruments, commissioning, As-Built drawings and O&amp;M manuals.</t>
  </si>
  <si>
    <t>2. APPLICABLE STANDARDS</t>
  </si>
  <si>
    <t>Standard</t>
  </si>
  <si>
    <t>Distribution Standards &amp; Authority Regulations (latest edition)</t>
  </si>
  <si>
    <t>DEWA Smart Grid</t>
  </si>
  <si>
    <t>Smart Metering Programme / AMI Specifications / Shams Dubai</t>
  </si>
  <si>
    <t>DM</t>
  </si>
  <si>
    <t>Dubai Municipality Building Code &amp; Electrical Inspection Standards</t>
  </si>
  <si>
    <t>DM Local Order</t>
  </si>
  <si>
    <t>Local Order 89/1994 — Building Regulations and amendments</t>
  </si>
  <si>
    <t>Dubai Civil Defence — UAE Fire &amp; Life Safety Code of Practice (latest)</t>
  </si>
  <si>
    <t>BS 7671</t>
  </si>
  <si>
    <t>IEE Wiring Regulations (18th Edition / latest)</t>
  </si>
  <si>
    <t>IEC 60364</t>
  </si>
  <si>
    <t>Low-voltage electrical installations</t>
  </si>
  <si>
    <t>IEC 60439</t>
  </si>
  <si>
    <t>LV switchgear and controlgear assemblies (Form separation)</t>
  </si>
  <si>
    <t>IEC 60947</t>
  </si>
  <si>
    <t>LV switchgear (ACBs, MCCBs, contactors)</t>
  </si>
  <si>
    <t>IEC 60331</t>
  </si>
  <si>
    <t>Fire-resisting characteristics of electric cables</t>
  </si>
  <si>
    <t>BS 6387 CWZ</t>
  </si>
  <si>
    <t>Performance requirements for fire-rated cables</t>
  </si>
  <si>
    <t>BS 7211</t>
  </si>
  <si>
    <t>LSZH (Low Smoke Zero Halogen) cable performance</t>
  </si>
  <si>
    <t>IEC 60332-3</t>
  </si>
  <si>
    <t>Cable flame-propagation test (Cat A/B/C)</t>
  </si>
  <si>
    <t>IEC 61034 / 60754</t>
  </si>
  <si>
    <t>Smoke density / halogen-acid gas emission tests for LSZH cables</t>
  </si>
  <si>
    <t>BS 4444</t>
  </si>
  <si>
    <t>Earth electrode resistance test method</t>
  </si>
  <si>
    <t>IEC 62305</t>
  </si>
  <si>
    <t>Lightning protection systems</t>
  </si>
  <si>
    <t>IEC 62052/62053</t>
  </si>
  <si>
    <t>Electricity metering equipment — general requirements</t>
  </si>
  <si>
    <t>Dubai GBR</t>
  </si>
  <si>
    <t>Dubai Green Building Regulations &amp; Specifications</t>
  </si>
  <si>
    <t>UAE FTA</t>
  </si>
  <si>
    <t>Federal Tax Authority — VAT (5%) on tender total per Federal Decree-Law 8/2017</t>
  </si>
  <si>
    <t>3. ABBREVIATIONS</t>
  </si>
  <si>
    <t>Abbr.</t>
  </si>
  <si>
    <t>Meaning</t>
  </si>
  <si>
    <t>ACB</t>
  </si>
  <si>
    <t>Air Circuit Breaker</t>
  </si>
  <si>
    <t>MCCB</t>
  </si>
  <si>
    <t>Moulded Case Circuit Breaker</t>
  </si>
  <si>
    <t>MCB</t>
  </si>
  <si>
    <t>Miniature Circuit Breaker</t>
  </si>
  <si>
    <t>RCD</t>
  </si>
  <si>
    <t>Residual Current Device</t>
  </si>
  <si>
    <t>LVP</t>
  </si>
  <si>
    <t>LV Panel (Main)</t>
  </si>
  <si>
    <t>SMDB</t>
  </si>
  <si>
    <t>Sub-Main Distribution Board</t>
  </si>
  <si>
    <t>ESMDB</t>
  </si>
  <si>
    <t>Emergency SMDB</t>
  </si>
  <si>
    <t>DB</t>
  </si>
  <si>
    <t>Distribution Board</t>
  </si>
  <si>
    <t>EDB</t>
  </si>
  <si>
    <t>Emergency DB</t>
  </si>
  <si>
    <t>ATS</t>
  </si>
  <si>
    <t>Automatic Transfer Switch</t>
  </si>
  <si>
    <t>XLPE</t>
  </si>
  <si>
    <t>Cross-Linked Polyethylene</t>
  </si>
  <si>
    <t>SWA</t>
  </si>
  <si>
    <t>Steel Wire Armoured</t>
  </si>
  <si>
    <t>FR</t>
  </si>
  <si>
    <t>Fire Rated (BS6387 CWZ)</t>
  </si>
  <si>
    <t>ECC</t>
  </si>
  <si>
    <t>Earth Continuity Conductor</t>
  </si>
  <si>
    <t>MEB</t>
  </si>
  <si>
    <t>Main Earth Bar</t>
  </si>
  <si>
    <t>LP</t>
  </si>
  <si>
    <t>Lightning Protection</t>
  </si>
  <si>
    <t>T&amp;C</t>
  </si>
  <si>
    <t>Testing &amp; Commissioning</t>
  </si>
  <si>
    <t>SLD</t>
  </si>
  <si>
    <t>Single Line Diagram</t>
  </si>
  <si>
    <t>TCL</t>
  </si>
  <si>
    <t>Total Connected Load</t>
  </si>
  <si>
    <t>MD</t>
  </si>
  <si>
    <t>Maximum Demand</t>
  </si>
  <si>
    <t>DF</t>
  </si>
  <si>
    <t>Demand Factor</t>
  </si>
  <si>
    <t>PF</t>
  </si>
  <si>
    <t>Power Factor</t>
  </si>
  <si>
    <t>kVA</t>
  </si>
  <si>
    <t>Kilo-Volt-Ampere</t>
  </si>
  <si>
    <t>kW</t>
  </si>
  <si>
    <t>Kilo-Watt</t>
  </si>
  <si>
    <t>kVAR</t>
  </si>
  <si>
    <t>Kilo-Volt-Ampere Reactive</t>
  </si>
  <si>
    <t>IP55/IP65</t>
  </si>
  <si>
    <t>Ingress Protection ratings</t>
  </si>
  <si>
    <t>4. PRICING NOTES</t>
  </si>
  <si>
    <t>(1)</t>
  </si>
  <si>
    <t>All rates shall include supply, delivery, off-loading, storage, installation, fixings, support steelwork, painting, identification labelling, testing, commissioning, and handover.</t>
  </si>
  <si>
    <t>(2)</t>
  </si>
  <si>
    <t>All quantities are estimated from tender drawings; the contractor shall verify on site before procurement. No claim for variation will be entertained for take-off discrepancies within ±5% of the BOQ quantity.</t>
  </si>
  <si>
    <t>(3)</t>
  </si>
  <si>
    <t>Cable lengths include +10% installation allowance (vertical rise + horizontal route + termination + slack).</t>
  </si>
  <si>
    <t>(4)</t>
  </si>
  <si>
    <t>Where a "lot" or "item" unit is used, the rate shall cover the complete scope described in that item including all incidentals.</t>
  </si>
  <si>
    <t>(5)</t>
  </si>
  <si>
    <t>Provisional sums (PS) are net rates; the contractor shall add a percentage for overheads, profit, and attendance separately at the foot of each Bill where applicable.</t>
  </si>
  <si>
    <t>(6)</t>
  </si>
  <si>
    <t>All prices shall be in UAE Dirhams (AED), exclusive of VAT. VAT at 5% will be added at the foot of the Summary in accordance with UAE Federal Tax Authority requirements.</t>
  </si>
  <si>
    <t>(7)</t>
  </si>
  <si>
    <t>Rates shall remain firm and fixed for the duration of the contract including the Defects Liability Period unless otherwise agreed in writing.</t>
  </si>
  <si>
    <t>BILL No. 1 — GENERAL ITEMS / PRELIMINARIES</t>
  </si>
  <si>
    <t>Project: Proposed B+G+8+R Commercial &amp; Residential Building, Plot 6731315, Al Barsha South Third, Dubai, UAE  |  Job: FA_P379 / CRs B/010/25  |  Authority: DEWA (Dubai Electricity &amp; Water Authority)</t>
  </si>
  <si>
    <t>Item</t>
  </si>
  <si>
    <t>Reference</t>
  </si>
  <si>
    <t>Unit</t>
  </si>
  <si>
    <t>Qty</t>
  </si>
  <si>
    <t xml:space="preserve">Rate
(AED)</t>
  </si>
  <si>
    <t xml:space="preserve">Amount
(AED)</t>
  </si>
  <si>
    <t>Origin / Brand</t>
  </si>
  <si>
    <t>1.1 — PROJECT MOBILISATION &amp; SITE ESTABLISHMENT</t>
  </si>
  <si>
    <t>1.1.1</t>
  </si>
  <si>
    <t>Mobilisation to site, including transport of plant, tools, materials and personnel.</t>
  </si>
  <si>
    <t>—</t>
  </si>
  <si>
    <t>Sum</t>
  </si>
  <si>
    <t>📋  — (contractor selection)</t>
  </si>
  <si>
    <t>1.1.2</t>
  </si>
  <si>
    <t>Site offices, storage compounds, sanitary and welfare facilities for the duration of the works.</t>
  </si>
  <si>
    <t>1.1.3</t>
  </si>
  <si>
    <t>Site hoarding, fencing and security as per main contractor / consultant requirements.</t>
  </si>
  <si>
    <t>1.1.4</t>
  </si>
  <si>
    <t>Health &amp; Safety plan, PPE, fall-arrest and electrical safety (LOTO) provisions for the duration.</t>
  </si>
  <si>
    <t>1.1.5</t>
  </si>
  <si>
    <t>Coordination with main contractor and other MEP trades — shop-drawing review meetings, BIM coordination as required.</t>
  </si>
  <si>
    <t>Sub-Total 1.1</t>
  </si>
  <si>
    <t/>
  </si>
  <si>
    <t>1.2 — INSURANCE &amp; BONDS</t>
  </si>
  <si>
    <t>1.2.1</t>
  </si>
  <si>
    <t>Contractor's All Risks (CAR) insurance for the contract value, full duration plus DLP.</t>
  </si>
  <si>
    <t>1.2.2</t>
  </si>
  <si>
    <t>Workmen's Compensation and Public Liability insurance.</t>
  </si>
  <si>
    <t>1.2.3</t>
  </si>
  <si>
    <t>Performance bond (10% of contract value) — bank guarantee in favour of the employer.</t>
  </si>
  <si>
    <t>1.2.4</t>
  </si>
  <si>
    <t>Advance payment guarantee — bank guarantee against advance.</t>
  </si>
  <si>
    <t>Sub-Total 1.2</t>
  </si>
  <si>
    <t>1.3 — TEMPORARY UTILITIES &amp; TESTING INSTRUMENTS</t>
  </si>
  <si>
    <t>1.3.1</t>
  </si>
  <si>
    <t>Temporary power supply during construction — generator, distribution, metering, fuel.</t>
  </si>
  <si>
    <t>1.3.2</t>
  </si>
  <si>
    <t>Temporary lighting in areas of work as required for safe execution.</t>
  </si>
  <si>
    <t>1.3.3</t>
  </si>
  <si>
    <t>Provision of all testing instruments — Megger 500V/1000V, earth tester, multimeter, RCD tester, loop tester, calibration certificates current.</t>
  </si>
  <si>
    <t>Sub-Total 1.3</t>
  </si>
  <si>
    <t>1.4 — SUBMITTALS, AS-BUILTS, O&amp;M MANUALS</t>
  </si>
  <si>
    <t>1.4.1</t>
  </si>
  <si>
    <t>Shop drawings (AutoCAD) — full set, multiple revisions until approved.</t>
  </si>
  <si>
    <t>1.4.2</t>
  </si>
  <si>
    <t>Material approval submittals — datasheets, samples, manufacturer's certificates, country-of-origin declarations.</t>
  </si>
  <si>
    <t>1.4.3</t>
  </si>
  <si>
    <t>As-Built drawings (AutoCAD + PDF, 4 hard copies) at handover.</t>
  </si>
  <si>
    <t>1.4.4</t>
  </si>
  <si>
    <t>Operation &amp; Maintenance manuals (4 hard copies + PDF) at handover, including spare-parts list.</t>
  </si>
  <si>
    <t>1.4.5</t>
  </si>
  <si>
    <t>Defects Liability Period support (12 months from handover) — site attendance, replacement of defective materials, retesting.</t>
  </si>
  <si>
    <t>Sub-Total 1.4</t>
  </si>
  <si>
    <t>1.5 — AUTHORITY FEES, NOCs &amp; PERMITS</t>
  </si>
  <si>
    <t>1.5.1</t>
  </si>
  <si>
    <t>DEWA HV/LV connection capacity charges (per kVA, DEWA tariff). Provisional sum — final amount per DEWA load-letter response.</t>
  </si>
  <si>
    <t>DEWA / DM / DCD / RTA tariff</t>
  </si>
  <si>
    <t>📋  DEWA / DM / DCD / RTA</t>
  </si>
  <si>
    <t>1.5.2</t>
  </si>
  <si>
    <t>DEWA load-letter application &amp; approval fees (capacity allocation, RMU/substation siting, voltage level confirmation).</t>
  </si>
  <si>
    <t>1.5.3</t>
  </si>
  <si>
    <t>DEWA energising application fee — submission, processing, witness arrangement, meter sealing.</t>
  </si>
  <si>
    <t>1.5.4</t>
  </si>
  <si>
    <t>RTA road-cutting permit + reinstatement (where HV/LV cabling crosses public road or pavement). Provisional sum.</t>
  </si>
  <si>
    <t>1.5.5</t>
  </si>
  <si>
    <t>Dubai Municipality (DM) electrical inspection &amp; completion-certificate fee — for occupancy / completion sign-off.</t>
  </si>
  <si>
    <t>1.5.6</t>
  </si>
  <si>
    <t>Dubai Civil Defence (DCD) electrical clearance NOC fee — life-safety clearance for fire pump, smoke control, emergency lighting.</t>
  </si>
  <si>
    <t>Sub-Total 1.5</t>
  </si>
  <si>
    <t>BILL 1 — TOTAL CARRIED TO SUMMARY</t>
  </si>
  <si>
    <t>BILL No. 2 — HV / LV MAIN DISTRIBUTION</t>
  </si>
  <si>
    <t>2.1 — HV INCOMING SUPPLY &amp; TRANSFORMER (DEWA-coordinated)</t>
  </si>
  <si>
    <t>2.1.1</t>
  </si>
  <si>
    <t>DEWA HV incoming service connection (RMU / package substation, supplied &amp; installed by DEWA). Contractor allowance for coordination, application, attendance and acceptance.</t>
  </si>
  <si>
    <t>P-200 (SLD) / P-300 (LV room)</t>
  </si>
  <si>
    <t>Lot</t>
  </si>
  <si>
    <t>📋  DEWA-listed</t>
  </si>
  <si>
    <t>2.1.2</t>
  </si>
  <si>
    <t>HV / LV distribution transformer — 2000 kVA, 11 kV / 0.4 kV, 50 Hz, vector group Dyn11, K-Factor rating ≥ K-13 (suitable for non-linear loads — LED lighting, EV chargers, VFDs; uplift to K-20 if EV load &gt; 20 % of MD), cast-resin (dry-type) construction with encapsulated F-class windings, IP31 enclosure, anti-vibration mounts, ±2.5 % / ±5 % off-circuit tap changer, oil-free, low-loss DEWA-listed manufacturer. Sized for Building MD ~? kW + 25 % spare. Includes installation, energising, witnessed routine test, commissioning report.</t>
  </si>
  <si>
    <t>Nr</t>
  </si>
  <si>
    <t>📋  Schneider / ABB / Siemens / Trafo Union</t>
  </si>
  <si>
    <t>2.1.3</t>
  </si>
  <si>
    <t>11 kV HV cable (single-core 3×1C, XLPE/CWS/PVC, copper screen) from RMU to transformer HV side — complete with stress cones, heat-shrink terminations, fire stopping at penetrations, earthing, ID phase markers.</t>
  </si>
  <si>
    <t>m</t>
  </si>
  <si>
    <t>2.1.4</t>
  </si>
  <si>
    <t>Transformer room civil / MEP coordination — pressure-relief vents, mechanical ventilation, drainage, fire-rated enclosure (≥ 2 h), DEWA-spec oil bund where oil-filled (N/A for cast-resin) — coordination only.</t>
  </si>
  <si>
    <t>Sub-Total 2.1</t>
  </si>
  <si>
    <t>2.2 — LV PANELS (Supply, Install, Test &amp; Commission)</t>
  </si>
  <si>
    <t>2.2.1</t>
  </si>
  <si>
    <t>Main LV Panel — sized per Maximum Demand. Supply, install, test, commission complete with ACB, busbars, MCCBs as per SLD.</t>
  </si>
  <si>
    <t>📐  Coordinate with consultant</t>
  </si>
  <si>
    <t>Sub-Total 2.2</t>
  </si>
  <si>
    <t>2.3 — STANDBY GENERATOR &amp; ATS</t>
  </si>
  <si>
    <t>2.3.1</t>
  </si>
  <si>
    <t>Standby generator + ATS — sized per essential-load schedule. Supply, install, commission complete.</t>
  </si>
  <si>
    <t>Set</t>
  </si>
  <si>
    <t>📐  Cummins / Caterpillar / FG Wilson / Perkins</t>
  </si>
  <si>
    <t>Sub-Total 2.3</t>
  </si>
  <si>
    <t>BILL 2 — TOTAL CARRIED TO SUMMARY</t>
  </si>
  <si>
    <t>BILL No. 3 — SUB-MAIN DISTRIBUTION BOARDS (SMDBS)</t>
  </si>
  <si>
    <t>3.1 — TYPICAL FLOOR SMDBs (1F–8F)</t>
  </si>
  <si>
    <t>3.1.1</t>
  </si>
  <si>
    <t>SMDB-1F: floor-standing SMDB, IP31 powder-coated mild-steel enclosure with padlockable hinged door, 415 V / 3P+N+E, 300A TP MCCB ≥35 kA Icu incomer, busbar 300 A Cu electro-tin plated, Form 2b separation, neutral / earth bars, outgoing MCCBs / MCBs / RCBOs as per SLD, MEB sub-bar bonded to building MEB, ID-engraved circuit labels, padlockable hinged door, manufacturer's factory acceptance test (FAT) certificate. Fire-rated cable glands + LSZH gland-kits at all FR feeder terminations. Connected load 150.86 kW. Supply, install, terminate, energise, witnessed routine test.</t>
  </si>
  <si>
    <t>P-201 (SLD) / P-103 (1F)</t>
  </si>
  <si>
    <t>📐  Schneider / Hager / Legrand / ABB</t>
  </si>
  <si>
    <t>3.1.2</t>
  </si>
  <si>
    <t>SMDB-2F: floor-standing SMDB, IP31 powder-coated mild-steel enclosure with padlockable hinged door, 415 V / 3P+N+E, 300A TP MCCB ≥35 kA Icu incomer, busbar 300 A Cu electro-tin plated, Form 2b separation, neutral / earth bars, outgoing MCCBs / MCBs / RCBOs as per SLD, MEB sub-bar bonded to building MEB, ID-engraved circuit labels, padlockable hinged door, manufacturer's factory acceptance test (FAT) certificate. Fire-rated cable glands + LSZH gland-kits at all FR feeder terminations. Connected load 150.86 kW. Supply, install, terminate, energise, witnessed routine test.</t>
  </si>
  <si>
    <t>P-201 (SLD) / P-104 (2F)</t>
  </si>
  <si>
    <t>3.1.3</t>
  </si>
  <si>
    <t>SMDB-3F: floor-standing SMDB, IP31 powder-coated mild-steel enclosure with padlockable hinged door, 415 V / 3P+N+E, 300A TP MCCB ≥35 kA Icu incomer, busbar 300 A Cu electro-tin plated, Form 2b separation, neutral / earth bars, outgoing MCCBs / MCBs / RCBOs as per SLD, MEB sub-bar bonded to building MEB, ID-engraved circuit labels, padlockable hinged door, manufacturer's factory acceptance test (FAT) certificate. Fire-rated cable glands + LSZH gland-kits at all FR feeder terminations. Connected load 150.86 kW. Supply, install, terminate, energise, witnessed routine test.</t>
  </si>
  <si>
    <t>P-201 (SLD) / P-105 (3F)</t>
  </si>
  <si>
    <t>3.1.4</t>
  </si>
  <si>
    <t>SMDB-4F: floor-standing SMDB, IP31 powder-coated mild-steel enclosure with padlockable hinged door, 415 V / 3P+N+E, 300A TP MCCB ≥35 kA Icu incomer, busbar 300 A Cu electro-tin plated, Form 2b separation, neutral / earth bars, outgoing MCCBs / MCBs / RCBOs as per SLD, MEB sub-bar bonded to building MEB, ID-engraved circuit labels, padlockable hinged door, manufacturer's factory acceptance test (FAT) certificate. Fire-rated cable glands + LSZH gland-kits at all FR feeder terminations. Connected load 150.86 kW. Supply, install, terminate, energise, witnessed routine test.</t>
  </si>
  <si>
    <t>P-201 (SLD) / P-104 (4F)</t>
  </si>
  <si>
    <t>3.1.5</t>
  </si>
  <si>
    <t>SMDB-5F: floor-standing SMDB, IP31 powder-coated mild-steel enclosure with padlockable hinged door, 415 V / 3P+N+E, 300A TP MCCB ≥35 kA Icu incomer, busbar 300 A Cu electro-tin plated, Form 2b separation, neutral / earth bars, outgoing MCCBs / MCBs / RCBOs as per SLD, MEB sub-bar bonded to building MEB, ID-engraved circuit labels, padlockable hinged door, manufacturer's factory acceptance test (FAT) certificate. Fire-rated cable glands + LSZH gland-kits at all FR feeder terminations. Connected load 150.86 kW. Supply, install, terminate, energise, witnessed routine test.</t>
  </si>
  <si>
    <t>P-201 (SLD) / P-105 (5F)</t>
  </si>
  <si>
    <t>3.1.6</t>
  </si>
  <si>
    <t>SMDB-6F: floor-standing SMDB, IP31 powder-coated mild-steel enclosure with padlockable hinged door, 415 V / 3P+N+E, 300A TP MCCB ≥35 kA Icu incomer, busbar 300 A Cu electro-tin plated, Form 2b separation, neutral / earth bars, outgoing MCCBs / MCBs / RCBOs as per SLD, MEB sub-bar bonded to building MEB, ID-engraved circuit labels, padlockable hinged door, manufacturer's factory acceptance test (FAT) certificate. Fire-rated cable glands + LSZH gland-kits at all FR feeder terminations. Connected load 150.86 kW. Supply, install, terminate, energise, witnessed routine test.</t>
  </si>
  <si>
    <t>P-201 (SLD) / P-104 (6F)</t>
  </si>
  <si>
    <t>3.1.7</t>
  </si>
  <si>
    <t>SMDB-7F: floor-standing SMDB, IP31 powder-coated mild-steel enclosure with padlockable hinged door, 415 V / 3P+N+E, 300A TP MCCB ≥35 kA Icu incomer, busbar 300 A Cu electro-tin plated, Form 2b separation, neutral / earth bars, outgoing MCCBs / MCBs / RCBOs as per SLD, MEB sub-bar bonded to building MEB, ID-engraved circuit labels, padlockable hinged door, manufacturer's factory acceptance test (FAT) certificate. Fire-rated cable glands + LSZH gland-kits at all FR feeder terminations. Connected load 150.86 kW. Supply, install, terminate, energise, witnessed routine test.</t>
  </si>
  <si>
    <t>P-201 (SLD) / P-105 (7F)</t>
  </si>
  <si>
    <t>3.1.8</t>
  </si>
  <si>
    <t>SMDB-8F: floor-standing SMDB, IP31 powder-coated mild-steel enclosure with padlockable hinged door, 415 V / 3P+N+E, 300A TP MCCB ≥35 kA Icu incomer, busbar 300 A Cu electro-tin plated, Form 2b separation, neutral / earth bars, outgoing MCCBs / MCBs / RCBOs as per SLD, MEB sub-bar bonded to building MEB, ID-engraved circuit labels, padlockable hinged door, manufacturer's factory acceptance test (FAT) certificate. Fire-rated cable glands + LSZH gland-kits at all FR feeder terminations. Connected load 150.86 kW. Supply, install, terminate, energise, witnessed routine test.</t>
  </si>
  <si>
    <t>P-201 (SLD) / P-104 (8F)</t>
  </si>
  <si>
    <t>Sub-Total 3.1</t>
  </si>
  <si>
    <t>3.2 — GROUND FLOOR SMDBs</t>
  </si>
  <si>
    <t>3.2.1</t>
  </si>
  <si>
    <t>SMDB-G: wall-mounted SMDB, IP31 powder-coated mild-steel enclosure with padlockable hinged door, 415 V / 3P+N+E, 125A TP MCCB ≥35 kA Icu incomer, busbar 125 A Cu electro-tin plated, Form 2b separation, neutral / earth bars, outgoing MCCBs / MCBs / RCBOs as per SLD, MEB sub-bar bonded to building MEB, ID-engraved circuit labels, padlockable hinged door, manufacturer's factory acceptance test (FAT) certificate. Fire-rated cable glands + LSZH gland-kits at all FR feeder terminations. Connected load 60.55 kW. Supply, install, terminate, energise, witnessed routine test.</t>
  </si>
  <si>
    <t>P-201 (SLD) / P-102 (Ground)</t>
  </si>
  <si>
    <t>3.2.2</t>
  </si>
  <si>
    <t>SMDB-SH01: wall-mounted SMDB, IP31 powder-coated mild-steel enclosure with padlockable hinged door, 415 V / 3P+N+E, 40A TP MCCB ≥35 kA Icu incomer, busbar 40 A Cu electro-tin plated, Form 2b separation, neutral / earth bars, outgoing MCCBs / MCBs / RCBOs as per SLD, MEB sub-bar bonded to building MEB, ID-engraved circuit labels, padlockable hinged door, manufacturer's factory acceptance test (FAT) certificate. Fire-rated cable glands + LSZH gland-kits at all FR feeder terminations. Connected load 15 kW. Supply, install, terminate, energise, witnessed routine test.</t>
  </si>
  <si>
    <t>P-201 (SLD)</t>
  </si>
  <si>
    <t>3.2.3</t>
  </si>
  <si>
    <t>SMDB-SH02: wall-mounted SMDB, IP31 powder-coated mild-steel enclosure with padlockable hinged door, 415 V / 3P+N+E, 40A TP MCCB ≥35 kA Icu incomer, busbar 40 A Cu electro-tin plated, Form 2b separation, neutral / earth bars, outgoing MCCBs / MCBs / RCBOs as per SLD, MEB sub-bar bonded to building MEB, ID-engraved circuit labels, padlockable hinged door, manufacturer's factory acceptance test (FAT) certificate. Fire-rated cable glands + LSZH gland-kits at all FR feeder terminations. Connected load 15 kW. Supply, install, terminate, energise, witnessed routine test.</t>
  </si>
  <si>
    <t>3.2.4</t>
  </si>
  <si>
    <t>SMDB-SH03: wall-mounted SMDB, IP31 powder-coated mild-steel enclosure with padlockable hinged door, 415 V / 3P+N+E, 40A TP MCCB ≥35 kA Icu incomer, busbar 40 A Cu electro-tin plated, Form 2b separation, neutral / earth bars, outgoing MCCBs / MCBs / RCBOs as per SLD, MEB sub-bar bonded to building MEB, ID-engraved circuit labels, padlockable hinged door, manufacturer's factory acceptance test (FAT) certificate. Fire-rated cable glands + LSZH gland-kits at all FR feeder terminations. Connected load 15 kW. Supply, install, terminate, energise, witnessed routine test.</t>
  </si>
  <si>
    <t>3.2.5</t>
  </si>
  <si>
    <t>SMDB-SH04: wall-mounted SMDB, IP31 powder-coated mild-steel enclosure with padlockable hinged door, 415 V / 3P+N+E, 40A TP MCCB ≥35 kA Icu incomer, busbar 40 A Cu electro-tin plated, Form 2b separation, neutral / earth bars, outgoing MCCBs / MCBs / RCBOs as per SLD, MEB sub-bar bonded to building MEB, ID-engraved circuit labels, padlockable hinged door, manufacturer's factory acceptance test (FAT) certificate. Fire-rated cable glands + LSZH gland-kits at all FR feeder terminations. Connected load 15 kW. Supply, install, terminate, energise, witnessed routine test.</t>
  </si>
  <si>
    <t>3.2.6</t>
  </si>
  <si>
    <t>SMDB-SH05: wall-mounted SMDB, IP31 powder-coated mild-steel enclosure with padlockable hinged door, 415 V / 3P+N+E, 40A TP MCCB ≥35 kA Icu incomer, busbar 40 A Cu electro-tin plated, Form 2b separation, neutral / earth bars, outgoing MCCBs / MCBs / RCBOs as per SLD, MEB sub-bar bonded to building MEB, ID-engraved circuit labels, padlockable hinged door, manufacturer's factory acceptance test (FAT) certificate. Fire-rated cable glands + LSZH gland-kits at all FR feeder terminations. Connected load 25 kW. Supply, install, terminate, energise, witnessed routine test.</t>
  </si>
  <si>
    <t>3.2.7</t>
  </si>
  <si>
    <t>SMDB-SH06: wall-mounted SMDB, IP31 powder-coated mild-steel enclosure with padlockable hinged door, 415 V / 3P+N+E, 40A TP MCCB ≥35 kA Icu incomer, busbar 40 A Cu electro-tin plated, Form 2b separation, neutral / earth bars, outgoing MCCBs / MCBs / RCBOs as per SLD, MEB sub-bar bonded to building MEB, ID-engraved circuit labels, padlockable hinged door, manufacturer's factory acceptance test (FAT) certificate. Fire-rated cable glands + LSZH gland-kits at all FR feeder terminations. Connected load 10 kW. Supply, install, terminate, energise, witnessed routine test.</t>
  </si>
  <si>
    <t>3.2.8</t>
  </si>
  <si>
    <t>SMDB-SH07: wall-mounted SMDB, IP31 powder-coated mild-steel enclosure with padlockable hinged door, 415 V / 3P+N+E, 40A TP MCCB ≥35 kA Icu incomer, busbar 40 A Cu electro-tin plated, Form 2b separation, neutral / earth bars, outgoing MCCBs / MCBs / RCBOs as per SLD, MEB sub-bar bonded to building MEB, ID-engraved circuit labels, padlockable hinged door, manufacturer's factory acceptance test (FAT) certificate. Fire-rated cable glands + LSZH gland-kits at all FR feeder terminations. Connected load 10 kW. Supply, install, terminate, energise, witnessed routine test.</t>
  </si>
  <si>
    <t>3.2.9</t>
  </si>
  <si>
    <t>SMDB-SH08: wall-mounted SMDB, IP31 powder-coated mild-steel enclosure with padlockable hinged door, 415 V / 3P+N+E, 40A TP MCCB ≥35 kA Icu incomer, busbar 40 A Cu electro-tin plated, Form 2b separation, neutral / earth bars, outgoing MCCBs / MCBs / RCBOs as per SLD, MEB sub-bar bonded to building MEB, ID-engraved circuit labels, padlockable hinged door, manufacturer's factory acceptance test (FAT) certificate. Fire-rated cable glands + LSZH gland-kits at all FR feeder terminations. Connected load 40 kW. Supply, install, terminate, energise, witnessed routine test.</t>
  </si>
  <si>
    <t>3.2.10</t>
  </si>
  <si>
    <t>SMDB-SH09: wall-mounted SMDB, IP31 powder-coated mild-steel enclosure with padlockable hinged door, 415 V / 3P+N+E, 40A TP MCCB ≥35 kA Icu incomer, busbar 40 A Cu electro-tin plated, Form 2b separation, neutral / earth bars, outgoing MCCBs / MCBs / RCBOs as per SLD, MEB sub-bar bonded to building MEB, ID-engraved circuit labels, padlockable hinged door, manufacturer's factory acceptance test (FAT) certificate. Fire-rated cable glands + LSZH gland-kits at all FR feeder terminations. Connected load 10 kW. Supply, install, terminate, energise, witnessed routine test.</t>
  </si>
  <si>
    <t>3.2.11</t>
  </si>
  <si>
    <t>SMDB-SH10: wall-mounted SMDB, IP31 powder-coated mild-steel enclosure with padlockable hinged door, 415 V / 3P+N+E, 40A TP MCCB ≥35 kA Icu incomer, busbar 40 A Cu electro-tin plated, Form 2b separation, neutral / earth bars, outgoing MCCBs / MCBs / RCBOs as per SLD, MEB sub-bar bonded to building MEB, ID-engraved circuit labels, padlockable hinged door, manufacturer's factory acceptance test (FAT) certificate. Fire-rated cable glands + LSZH gland-kits at all FR feeder terminations. Connected load 15 kW. Supply, install, terminate, energise, witnessed routine test.</t>
  </si>
  <si>
    <t>3.2.12</t>
  </si>
  <si>
    <t>SMDB-SH11: wall-mounted SMDB, IP31 powder-coated mild-steel enclosure with padlockable hinged door, 415 V / 3P+N+E, 40A TP MCCB ≥35 kA Icu incomer, busbar 40 A Cu electro-tin plated, Form 2b separation, neutral / earth bars, outgoing MCCBs / MCBs / RCBOs as per SLD, MEB sub-bar bonded to building MEB, ID-engraved circuit labels, padlockable hinged door, manufacturer's factory acceptance test (FAT) certificate. Fire-rated cable glands + LSZH gland-kits at all FR feeder terminations. Connected load 15 kW. Supply, install, terminate, energise, witnessed routine test.</t>
  </si>
  <si>
    <t>3.2.13</t>
  </si>
  <si>
    <t>SMDB-SH12: wall-mounted SMDB, IP31 powder-coated mild-steel enclosure with padlockable hinged door, 415 V / 3P+N+E, 63A TP MCCB ≥35 kA Icu incomer, busbar 63 A Cu electro-tin plated, Form 2b separation, neutral / earth bars, outgoing MCCBs / MCBs / RCBOs as per SLD, MEB sub-bar bonded to building MEB, ID-engraved circuit labels, padlockable hinged door, manufacturer's factory acceptance test (FAT) certificate. Fire-rated cable glands + LSZH gland-kits at all FR feeder terminations. Connected load 30 kW. Supply, install, terminate, energise, witnessed routine test.</t>
  </si>
  <si>
    <t>Sub-Total 3.2</t>
  </si>
  <si>
    <t>3.3 — ROOF SMDBs</t>
  </si>
  <si>
    <t>3.3.1</t>
  </si>
  <si>
    <t>SMDB-RF: floor-standing SMDB, IP65 stainless-steel 316L weatherproof enclosure with UV-resistant gland kits and sun-shield canopy, 415 V / 3P+N+E, 500A TP MCCB ≥35 kA Icu incomer, busbar 500 A Cu electro-tin plated, Form 2b separation, neutral / earth bars, outgoing MCCBs / MCBs / RCBOs as per SLD, MEB sub-bar bonded to building MEB, ID-engraved circuit labels, padlockable hinged door, manufacturer's factory acceptance test (FAT) certificate. Fire-rated cable glands + LSZH gland-kits at all FR feeder terminations. Connected load 248.63 kW. Supply, install, terminate, energise, witnessed routine test.</t>
  </si>
  <si>
    <t>P-201 (SLD) / P-106 (Roof)</t>
  </si>
  <si>
    <t>Sub-Total 3.3</t>
  </si>
  <si>
    <t>3.4 — SPECIAL-DUTY SMDBs (EV / Lift / etc.)</t>
  </si>
  <si>
    <t>3.4.1</t>
  </si>
  <si>
    <t>SMDB-EV: wall-mounted SMDB, IP54 powder-coated mild-steel enclosure (epoxy-polyester finish), splash + dust-protected, 415 V / 3P+N+E, 160A TP MCCB ≥35 kA Icu incomer, busbar 160 A Cu electro-tin plated, Form 2b separation, neutral / earth bars, outgoing MCCBs / MCBs / RCBOs as per SLD, MEB sub-bar bonded to building MEB, ID-engraved circuit labels, padlockable hinged door, manufacturer's factory acceptance test (FAT) certificate. Fire-rated cable glands + LSZH gland-kits at all FR feeder terminations. Connected load 88 kW. Supply, install, terminate, energise, witnessed routine test.</t>
  </si>
  <si>
    <t>P-201 (SLD) / P-101 (Basement)</t>
  </si>
  <si>
    <t>Sub-Total 3.4</t>
  </si>
  <si>
    <t>3.5 — RETAIL SMDBs</t>
  </si>
  <si>
    <t>3.5.1</t>
  </si>
  <si>
    <t>3.5.2</t>
  </si>
  <si>
    <t>3.5.3</t>
  </si>
  <si>
    <t>3.5.4</t>
  </si>
  <si>
    <t>3.5.5</t>
  </si>
  <si>
    <t>3.5.6</t>
  </si>
  <si>
    <t>3.5.7</t>
  </si>
  <si>
    <t>3.5.8</t>
  </si>
  <si>
    <t>3.5.9</t>
  </si>
  <si>
    <t>3.5.10</t>
  </si>
  <si>
    <t>3.5.11</t>
  </si>
  <si>
    <t>3.5.12</t>
  </si>
  <si>
    <t>Sub-Total 3.5</t>
  </si>
  <si>
    <t>3.6 — EMERGENCY SMDBs (Generator-backed, FR)</t>
  </si>
  <si>
    <t>3.6.1</t>
  </si>
  <si>
    <t>3.6.2</t>
  </si>
  <si>
    <t>3.6.3</t>
  </si>
  <si>
    <t>3.6.4</t>
  </si>
  <si>
    <t>3.6.5</t>
  </si>
  <si>
    <t>3.6.6</t>
  </si>
  <si>
    <t>3.6.7</t>
  </si>
  <si>
    <t>3.6.8</t>
  </si>
  <si>
    <t>3.6.9</t>
  </si>
  <si>
    <t>3.6.10</t>
  </si>
  <si>
    <t>3.6.11</t>
  </si>
  <si>
    <t>3.6.12</t>
  </si>
  <si>
    <t>3.6.13</t>
  </si>
  <si>
    <t>3.6.14</t>
  </si>
  <si>
    <t>3.6.15</t>
  </si>
  <si>
    <t>3.6.16</t>
  </si>
  <si>
    <t>3.6.17</t>
  </si>
  <si>
    <t>3.6.18</t>
  </si>
  <si>
    <t>3.6.19</t>
  </si>
  <si>
    <t>3.6.20</t>
  </si>
  <si>
    <t>3.6.21</t>
  </si>
  <si>
    <t>3.6.22</t>
  </si>
  <si>
    <t>3.6.23</t>
  </si>
  <si>
    <t>3.6.24</t>
  </si>
  <si>
    <t>ESMDB-G: floor-standing SMDB, IP31 powder-coated mild-steel enclosure with padlockable hinged door, 415 V / 3P+N+E, 400A TP MCCB ≥35 kA Icu incomer, busbar 400 A Cu electro-tin plated, Form 2b separation, neutral / earth bars, outgoing MCCBs / MCBs / RCBOs as per SLD, MEB sub-bar bonded to building MEB, ID-engraved circuit labels, padlockable hinged door, manufacturer's factory acceptance test (FAT) certificate. Fire-rated cable glands + LSZH gland-kits at all FR feeder terminations. Connected load 190.08 kW. Supply, install, terminate, energise, witnessed routine test.</t>
  </si>
  <si>
    <t>3.6.25</t>
  </si>
  <si>
    <t>ESMDB-RF: wall-mounted SMDB, IP65 stainless-steel 316L weatherproof enclosure with UV-resistant gland kits and sun-shield canopy, 415 V / 3P+N+E, 160A TP MCCB ≥35 kA Icu incomer, busbar 160 A Cu electro-tin plated, Form 2b separation, neutral / earth bars, outgoing MCCBs / MCBs / RCBOs as per SLD, MEB sub-bar bonded to building MEB, ID-engraved circuit labels, padlockable hinged door, manufacturer's factory acceptance test (FAT) certificate. Fire-rated cable glands + LSZH gland-kits at all FR feeder terminations. Connected load 88.69 kW. Supply, install, terminate, energise, witnessed routine test.</t>
  </si>
  <si>
    <t>Sub-Total 3.6</t>
  </si>
  <si>
    <t>BILL 3 — TOTAL CARRIED TO SUMMARY</t>
  </si>
  <si>
    <t>BILL No. 4 — DISTRIBUTION BOARDS (DBS) &amp; CONSUMER UNITS</t>
  </si>
  <si>
    <t>4.1 — DISTRIBUTION BOARDS (per cable schedule)</t>
  </si>
  <si>
    <t>4.1.1</t>
  </si>
  <si>
    <t>DB-G: DB fed from SMDB-G, 63A TP incomer, IP4X. Supply, install, terminate, label, test &amp; commission.</t>
  </si>
  <si>
    <t>P-201 (SLD) / Floor plan</t>
  </si>
  <si>
    <t>4.1.2</t>
  </si>
  <si>
    <t>DB-F1: DB fed from SMDB-G, 40A TP incomer, IP4X. Supply, install, terminate, label, test &amp; commission.</t>
  </si>
  <si>
    <t>4.1.3</t>
  </si>
  <si>
    <t>DB-F4: DB fed from SMDB-G, 40A TP incomer, IP4X. Supply, install, terminate, label, test &amp; commission.</t>
  </si>
  <si>
    <t>4.1.4</t>
  </si>
  <si>
    <t>DB-F5: DB fed from SMDB-G, 40A TP incomer, IP4X. Supply, install, terminate, label, test &amp; commission.</t>
  </si>
  <si>
    <t>4.1.5</t>
  </si>
  <si>
    <t>DB-L.GYM: DB fed from SMDB-RF, 40A TP incomer, IP4X. Supply, install, terminate, label, test &amp; commission.</t>
  </si>
  <si>
    <t>P-106 (Roof) / P-201 (SLD)</t>
  </si>
  <si>
    <t>4.1.6</t>
  </si>
  <si>
    <t>DB-G.GYM: DB fed from SMDB-RF, 40A TP incomer, IP4X. Supply, install, terminate, label, test &amp; commission.</t>
  </si>
  <si>
    <t>4.1.7</t>
  </si>
  <si>
    <t>DB-WM: DB fed from SMDB-RF, 40A TP incomer, IP4X. Supply, install, terminate, label, test &amp; commission.</t>
  </si>
  <si>
    <t>4.1.8</t>
  </si>
  <si>
    <t>EDB-G: DB fed from ESMDB-G, 40A TP incomer, IP4X. Supply, install, terminate, label, test &amp; commission.</t>
  </si>
  <si>
    <t>P-201 (Emergency) / Floor plan</t>
  </si>
  <si>
    <t>4.1.9</t>
  </si>
  <si>
    <t>EDB-1F: DB fed from ESMDB-G, 32A TP incomer, IP4X. Supply, install, terminate, label, test &amp; commission.</t>
  </si>
  <si>
    <t>4.1.10</t>
  </si>
  <si>
    <t>EDB-TEL: DB fed from ESMDB-G, 40A TP incomer, IP4X. Supply, install, terminate, label, test &amp; commission.</t>
  </si>
  <si>
    <t>4.1.11</t>
  </si>
  <si>
    <t>EDB-PR: DB fed from ESMDB-G, 40A TP incomer, IP4X. Supply, install, terminate, label, test &amp; commission.</t>
  </si>
  <si>
    <t>4.1.12</t>
  </si>
  <si>
    <t>EDB-4F: DB fed from ESMDB-RF, 40A TP incomer, IP4X. Supply, install, terminate, label, test &amp; commission.</t>
  </si>
  <si>
    <t>4.1.13</t>
  </si>
  <si>
    <t>EDB-7F: DB fed from ESMDB-RF, 40A TP incomer, IP4X. Supply, install, terminate, label, test &amp; commission.</t>
  </si>
  <si>
    <t>4.1.14</t>
  </si>
  <si>
    <t>EDB-GSM-R: DB fed from ESMDB-RF, 40A TP incomer, IP4X. Supply, install, terminate, label, test &amp; commission.</t>
  </si>
  <si>
    <t>4.1.15</t>
  </si>
  <si>
    <t>DB-T1 (odd floors): DB fed from SMDB-TF-odd, 40A TP incomer, IP4X. Supply, install, terminate, label, test &amp; commission.</t>
  </si>
  <si>
    <t>4.1.16</t>
  </si>
  <si>
    <t>DB-T2 (odd floors): DB fed from SMDB-TF-odd, 40A TP incomer, IP4X. Supply, install, terminate, label, test &amp; commission.</t>
  </si>
  <si>
    <t>4.1.17</t>
  </si>
  <si>
    <t>DB-T3 (odd floors): DB fed from SMDB-TF-odd, 40A TP incomer, IP4X. Supply, install, terminate, label, test &amp; commission.</t>
  </si>
  <si>
    <t>4.1.18</t>
  </si>
  <si>
    <t>DB-T4 (odd floors): DB fed from SMDB-TF-odd, 40A TP incomer, IP4X. Supply, install, terminate, label, test &amp; commission.</t>
  </si>
  <si>
    <t>4.1.19</t>
  </si>
  <si>
    <t>DB-T5 (odd floors): DB fed from SMDB-TF-odd, 40A TP incomer, IP4X. Supply, install, terminate, label, test &amp; commission.</t>
  </si>
  <si>
    <t>4.1.20</t>
  </si>
  <si>
    <t>DB-T6 (odd floors): DB fed from SMDB-TF-odd, 40A TP incomer, IP4X. Supply, install, terminate, label, test &amp; commission.</t>
  </si>
  <si>
    <t>4.1.21</t>
  </si>
  <si>
    <t>DB-T7 (odd floors): DB fed from SMDB-TF-odd, 40A TP incomer, IP4X. Supply, install, terminate, label, test &amp; commission.</t>
  </si>
  <si>
    <t>4.1.22</t>
  </si>
  <si>
    <t>DB-T8 (odd floors): DB fed from SMDB-TF-odd, 40A TP incomer, IP4X. Supply, install, terminate, label, test &amp; commission.</t>
  </si>
  <si>
    <t>4.1.23</t>
  </si>
  <si>
    <t>DB-T9 (odd floors): DB fed from SMDB-TF-odd, 40A TP incomer, IP4X. Supply, install, terminate, label, test &amp; commission.</t>
  </si>
  <si>
    <t>4.1.24</t>
  </si>
  <si>
    <t>DB-T10 (odd floors): DB fed from SMDB-TF-odd, 40A TP incomer, IP4X. Supply, install, terminate, label, test &amp; commission.</t>
  </si>
  <si>
    <t>4.1.25</t>
  </si>
  <si>
    <t>DB-T11 (odd floors): DB fed from SMDB-TF-odd, 40A TP incomer, IP4X. Supply, install, terminate, label, test &amp; commission.</t>
  </si>
  <si>
    <t>4.1.26</t>
  </si>
  <si>
    <t>DB-T12 (odd floors): DB fed from SMDB-TF-odd, 40A TP incomer, IP4X. Supply, install, terminate, label, test &amp; commission.</t>
  </si>
  <si>
    <t>4.1.27</t>
  </si>
  <si>
    <t>DB-T13 (odd floors): DB fed from SMDB-TF-odd, 40A TP incomer, IP4X. Supply, install, terminate, label, test &amp; commission.</t>
  </si>
  <si>
    <t>4.1.28</t>
  </si>
  <si>
    <t>DB-T14 (odd floors): DB fed from SMDB-TF-odd, 40A TP incomer, IP4X. Supply, install, terminate, label, test &amp; commission.</t>
  </si>
  <si>
    <t>4.1.29</t>
  </si>
  <si>
    <t>DB-T15 (odd floors): DB fed from SMDB-TF-odd, 40A TP incomer, IP4X. Supply, install, terminate, label, test &amp; commission.</t>
  </si>
  <si>
    <t>4.1.30</t>
  </si>
  <si>
    <t>DB-T1 (even floors): DB fed from SMDB-TF-even, 40A TP incomer, IP4X. Supply, install, terminate, label, test &amp; commission.</t>
  </si>
  <si>
    <t>4.1.31</t>
  </si>
  <si>
    <t>DB-T2 (even floors): DB fed from SMDB-TF-even, 40A TP incomer, IP4X. Supply, install, terminate, label, test &amp; commission.</t>
  </si>
  <si>
    <t>4.1.32</t>
  </si>
  <si>
    <t>DB-T3 (even floors): DB fed from SMDB-TF-even, 40A TP incomer, IP4X. Supply, install, terminate, label, test &amp; commission.</t>
  </si>
  <si>
    <t>4.1.33</t>
  </si>
  <si>
    <t>DB-T4 (even floors): DB fed from SMDB-TF-even, 40A TP incomer, IP4X. Supply, install, terminate, label, test &amp; commission.</t>
  </si>
  <si>
    <t>4.1.34</t>
  </si>
  <si>
    <t>DB-T5 (even floors): DB fed from SMDB-TF-even, 40A TP incomer, IP4X. Supply, install, terminate, label, test &amp; commission.</t>
  </si>
  <si>
    <t>4.1.35</t>
  </si>
  <si>
    <t>DB-T6 (even floors): DB fed from SMDB-TF-even, 40A TP incomer, IP4X. Supply, install, terminate, label, test &amp; commission.</t>
  </si>
  <si>
    <t>4.1.36</t>
  </si>
  <si>
    <t>DB-T7 (even floors): DB fed from SMDB-TF-even, 40A TP incomer, IP4X. Supply, install, terminate, label, test &amp; commission.</t>
  </si>
  <si>
    <t>4.1.37</t>
  </si>
  <si>
    <t>DB-T8 (even floors): DB fed from SMDB-TF-even, 40A TP incomer, IP4X. Supply, install, terminate, label, test &amp; commission.</t>
  </si>
  <si>
    <t>4.1.38</t>
  </si>
  <si>
    <t>DB-T9 (even floors): DB fed from SMDB-TF-even, 40A TP incomer, IP4X. Supply, install, terminate, label, test &amp; commission.</t>
  </si>
  <si>
    <t>4.1.39</t>
  </si>
  <si>
    <t>DB-T10 (even floors): DB fed from SMDB-TF-even, 40A TP incomer, IP4X. Supply, install, terminate, label, test &amp; commission.</t>
  </si>
  <si>
    <t>4.1.40</t>
  </si>
  <si>
    <t>DB-T11 (even floors): DB fed from SMDB-TF-even, 40A TP incomer, IP4X. Supply, install, terminate, label, test &amp; commission.</t>
  </si>
  <si>
    <t>4.1.41</t>
  </si>
  <si>
    <t>DB-T12 (even floors): DB fed from SMDB-TF-even, 40A TP incomer, IP4X. Supply, install, terminate, label, test &amp; commission.</t>
  </si>
  <si>
    <t>4.1.42</t>
  </si>
  <si>
    <t>DB-T13 (even floors): DB fed from SMDB-TF-even, 40A TP incomer, IP4X. Supply, install, terminate, label, test &amp; commission.</t>
  </si>
  <si>
    <t>4.1.43</t>
  </si>
  <si>
    <t>DB-T14 (even floors): DB fed from SMDB-TF-even, 40A TP incomer, IP4X. Supply, install, terminate, label, test &amp; commission.</t>
  </si>
  <si>
    <t>4.1.44</t>
  </si>
  <si>
    <t>DB-T15 (even floors): DB fed from SMDB-TF-even, 40A TP incomer, IP4X. Supply, install, terminate, label, test &amp; commission.</t>
  </si>
  <si>
    <t>4.1.45</t>
  </si>
  <si>
    <t>DB-SHOP1: DB fed from SMDB-SH01 to SMDB-SH12, TP incomer, IP4X. Supply, install, terminate, label, test &amp; commission.</t>
  </si>
  <si>
    <t>4.1.46</t>
  </si>
  <si>
    <t>DB-SHOP2: DB fed from SMDB-SH01 to SMDB-SH12, TP incomer, IP4X. Supply, install, terminate, label, test &amp; commission.</t>
  </si>
  <si>
    <t>4.1.47</t>
  </si>
  <si>
    <t>DB-SHOP3: DB fed from SMDB-SH01 to SMDB-SH12, TP incomer, IP4X. Supply, install, terminate, label, test &amp; commission.</t>
  </si>
  <si>
    <t>4.1.48</t>
  </si>
  <si>
    <t>DB-SHOP4: DB fed from SMDB-SH01 to SMDB-SH12, TP incomer, IP4X. Supply, install, terminate, label, test &amp; commission.</t>
  </si>
  <si>
    <t>4.1.49</t>
  </si>
  <si>
    <t>DB-SHOP5: DB fed from SMDB-SH01 to SMDB-SH12, TP incomer, IP4X. Supply, install, terminate, label, test &amp; commission.</t>
  </si>
  <si>
    <t>4.1.50</t>
  </si>
  <si>
    <t>DB-SHOP6: DB fed from SMDB-SH01 to SMDB-SH12, TP incomer, IP4X. Supply, install, terminate, label, test &amp; commission.</t>
  </si>
  <si>
    <t>4.1.51</t>
  </si>
  <si>
    <t>DB-SHOP7: DB fed from SMDB-SH01 to SMDB-SH12, TP incomer, IP4X. Supply, install, terminate, label, test &amp; commission.</t>
  </si>
  <si>
    <t>4.1.52</t>
  </si>
  <si>
    <t>DB-SHOP8: DB fed from SMDB-SH01 to SMDB-SH12, TP incomer, IP4X. Supply, install, terminate, label, test &amp; commission.</t>
  </si>
  <si>
    <t>4.1.53</t>
  </si>
  <si>
    <t>DB-SHOP9: DB fed from SMDB-SH01 to SMDB-SH12, TP incomer, IP4X. Supply, install, terminate, label, test &amp; commission.</t>
  </si>
  <si>
    <t>4.1.54</t>
  </si>
  <si>
    <t>DB-SHOP10: DB fed from SMDB-SH01 to SMDB-SH12, TP incomer, IP4X. Supply, install, terminate, label, test &amp; commission.</t>
  </si>
  <si>
    <t>4.1.55</t>
  </si>
  <si>
    <t>DB-SHOP11: DB fed from SMDB-SH01 to SMDB-SH12, TP incomer, IP4X. Supply, install, terminate, label, test &amp; commission.</t>
  </si>
  <si>
    <t>4.1.56</t>
  </si>
  <si>
    <t>DB-SHOP12: DB fed from SMDB-SH01 to SMDB-SH12, TP incomer, IP4X. Supply, install, terminate, label, test &amp; commission.</t>
  </si>
  <si>
    <t>Sub-Total 4.1</t>
  </si>
  <si>
    <t>BILL 4 — TOTAL CARRIED TO SUMMARY</t>
  </si>
  <si>
    <t>BILL No. 5 — LV POWER CABLES (Main + Distribution + Final Circuits)</t>
  </si>
  <si>
    <t>Cable Size</t>
  </si>
  <si>
    <t>Description (Route &amp; Scope)</t>
  </si>
  <si>
    <t>5.1 — XLPE / SWA / PVC LV CABLES — Plant &amp; Utility Risers (LV Panel → SMDB)</t>
  </si>
  <si>
    <t>Spec (all rows in this section): XLPE / SWA / PVC 600/1000 V armoured cable to BS 5467 / IEC 60502, on plant / utility risers (non-public-area, non-escape-route). Installed in cable tray / ladder / conduit incl. fire stopping at penetrations, BW-type brass glands with shrouds, compression lugs, ferrules and terminations at both ends.</t>
  </si>
  <si>
    <t>5.1.1</t>
  </si>
  <si>
    <t>4C×150mm² XLPE/SWA/PVC</t>
  </si>
  <si>
    <t>LVP-01 → SMDB-1F — plant / utility riser</t>
  </si>
  <si>
    <t>P-200 (SLD) / P-010 (Cable tray)</t>
  </si>
  <si>
    <t>📐  Ducab / NCC / Oman Cables / Riyadh Cables</t>
  </si>
  <si>
    <t>5.1.2</t>
  </si>
  <si>
    <t>LVP-01 → SMDB-2F — plant / utility riser</t>
  </si>
  <si>
    <t>5.1.3</t>
  </si>
  <si>
    <t>LVP-01 → SMDB-3F — plant / utility riser</t>
  </si>
  <si>
    <t>5.1.4</t>
  </si>
  <si>
    <t>LVP-01 → SMDB-4F — plant / utility riser</t>
  </si>
  <si>
    <t>5.1.5</t>
  </si>
  <si>
    <t>LVP-01 → SMDB-5F — plant / utility riser</t>
  </si>
  <si>
    <t>5.1.6</t>
  </si>
  <si>
    <t>LVP-01 → SMDB-6F — plant / utility riser</t>
  </si>
  <si>
    <t>5.1.7</t>
  </si>
  <si>
    <t>LVP-01 → SMDB-7F — plant / utility riser</t>
  </si>
  <si>
    <t>5.1.8</t>
  </si>
  <si>
    <t>LVP-01 → SMDB-8F — plant / utility riser</t>
  </si>
  <si>
    <t>5.1.9</t>
  </si>
  <si>
    <t>LVP-02 → SMDB-RF — plant / utility riser</t>
  </si>
  <si>
    <t>5.1.10</t>
  </si>
  <si>
    <t>4C×50mm² XLPE/SWA/PVC</t>
  </si>
  <si>
    <t>LVP-02 → SMDB-G — plant / utility riser</t>
  </si>
  <si>
    <t>5.1.11</t>
  </si>
  <si>
    <t>4C×70mm² XLPE/SWA/PVC</t>
  </si>
  <si>
    <t>LVP-02 → SMDB-EV — plant / utility riser</t>
  </si>
  <si>
    <t>5.1.12</t>
  </si>
  <si>
    <t>4C×10mm² XLPE/SWA/PVC</t>
  </si>
  <si>
    <t>LVP-02 → SMDB-SH01 — plant / utility riser</t>
  </si>
  <si>
    <t>5.1.13</t>
  </si>
  <si>
    <t>LVP-02 → SMDB-SH02 — plant / utility riser</t>
  </si>
  <si>
    <t>5.1.14</t>
  </si>
  <si>
    <t>LVP-02 → SMDB-SH03 — plant / utility riser</t>
  </si>
  <si>
    <t>5.1.15</t>
  </si>
  <si>
    <t>LVP-02 → SMDB-SH04 — plant / utility riser</t>
  </si>
  <si>
    <t>5.1.16</t>
  </si>
  <si>
    <t>LVP-02 → SMDB-SH05 — plant / utility riser</t>
  </si>
  <si>
    <t>5.1.17</t>
  </si>
  <si>
    <t>LVP-02 → SMDB-SH06 — plant / utility riser</t>
  </si>
  <si>
    <t>5.1.18</t>
  </si>
  <si>
    <t>LVP-02 → SMDB-SH07 — plant / utility riser</t>
  </si>
  <si>
    <t>5.1.19</t>
  </si>
  <si>
    <t>LVP-02 → SMDB-SH08 — plant / utility riser</t>
  </si>
  <si>
    <t>5.1.20</t>
  </si>
  <si>
    <t>LVP-02 → SMDB-SH09 — plant / utility riser</t>
  </si>
  <si>
    <t>5.1.21</t>
  </si>
  <si>
    <t>LVP-02 → SMDB-SH10 — plant / utility riser</t>
  </si>
  <si>
    <t>5.1.22</t>
  </si>
  <si>
    <t>LVP-02 → SMDB-SH11 — plant / utility riser</t>
  </si>
  <si>
    <t>5.1.23</t>
  </si>
  <si>
    <t>4C×16mm² XLPE/SWA/PVC</t>
  </si>
  <si>
    <t>LVP-02 → SMDB-SH12 — plant / utility riser</t>
  </si>
  <si>
    <t>Sub-Total 5.1</t>
  </si>
  <si>
    <t>5.2 — FIRE-RATED LSZH CABLES (BS 6387 CWZ / IEC 60331-21 — life-safety circuits)</t>
  </si>
  <si>
    <t>Spec (all rows in this section): Fire-Rated LSZH cable to BS 6387 CWZ / IEC 60331-21 (950 °C / 3 h circuit integrity); LSZH outer jacket per BS 7211 / IEC 60332-3 Cat C / IEC 61034 / IEC 60754. Dedicated fire-rated containment, FR cleats at max 300 mm centres, FR/LSZH glands, FR terminations, red ID labels.</t>
  </si>
  <si>
    <t>5.2.1</t>
  </si>
  <si>
    <t>4C×70mm² FR/LSZH</t>
  </si>
  <si>
    <t>LVP-02 → ESMDB-G — life-safety circuit</t>
  </si>
  <si>
    <t>📐  Ducab FR / Pirelli / Prysmian / Nexans</t>
  </si>
  <si>
    <t>5.2.2</t>
  </si>
  <si>
    <t>4C×185mm² FR/LSZH</t>
  </si>
  <si>
    <t>LVP-02 → Fire Pump — life-safety circuit</t>
  </si>
  <si>
    <t>Sub-Total 5.2</t>
  </si>
  <si>
    <t>5.3 — DISTRIBUTION CABLES (SMDB → DB) — XLPE / SWA / PVC</t>
  </si>
  <si>
    <t>5.3.1</t>
  </si>
  <si>
    <t>SMDB-G → DB-G — SMDB → DB distribution</t>
  </si>
  <si>
    <t>5.3.2</t>
  </si>
  <si>
    <t>SMDB-G → DB-F1 — SMDB → DB distribution</t>
  </si>
  <si>
    <t>5.3.3</t>
  </si>
  <si>
    <t>SMDB-G → DB-F4 — SMDB → DB distribution</t>
  </si>
  <si>
    <t>5.3.4</t>
  </si>
  <si>
    <t>SMDB-G → DB-F5 — SMDB → DB distribution</t>
  </si>
  <si>
    <t>5.3.5</t>
  </si>
  <si>
    <t>SMDB-RF → DB-L.GYM — SMDB → DB distribution</t>
  </si>
  <si>
    <t>5.3.6</t>
  </si>
  <si>
    <t>SMDB-RF → DB-G.GYM — SMDB → DB distribution</t>
  </si>
  <si>
    <t>5.3.7</t>
  </si>
  <si>
    <t>SMDB-RF → DB-WM — SMDB → DB distribution</t>
  </si>
  <si>
    <t>5.3.8</t>
  </si>
  <si>
    <t>ESMDB-G → EDB-G — SMDB → DB distribution</t>
  </si>
  <si>
    <t>5.3.9</t>
  </si>
  <si>
    <t>4C×6mm² XLPE/SWA/PVC</t>
  </si>
  <si>
    <t>ESMDB-G → EDB-1F — SMDB → DB distribution</t>
  </si>
  <si>
    <t>5.3.10</t>
  </si>
  <si>
    <t>ESMDB-G → EDB-TEL — SMDB → DB distribution</t>
  </si>
  <si>
    <t>5.3.11</t>
  </si>
  <si>
    <t>ESMDB-G → EDB-PR — SMDB → DB distribution</t>
  </si>
  <si>
    <t>5.3.12</t>
  </si>
  <si>
    <t>ESMDB-RF → EDB-4F — SMDB → DB distribution</t>
  </si>
  <si>
    <t>5.3.13</t>
  </si>
  <si>
    <t>ESMDB-RF → EDB-7F — SMDB → DB distribution</t>
  </si>
  <si>
    <t>5.3.14</t>
  </si>
  <si>
    <t>ESMDB-RF → EDB-GSM-R — SMDB → DB distribution</t>
  </si>
  <si>
    <t>5.3.15</t>
  </si>
  <si>
    <t>SMDB-1F → DB-T1 — SMDB → DB distribution</t>
  </si>
  <si>
    <t>5.3.16</t>
  </si>
  <si>
    <t>SMDB-1F → DB-T2 — SMDB → DB distribution</t>
  </si>
  <si>
    <t>5.3.17</t>
  </si>
  <si>
    <t>SMDB-1F → DB-T3 — SMDB → DB distribution</t>
  </si>
  <si>
    <t>5.3.18</t>
  </si>
  <si>
    <t>SMDB-1F → DB-T4 — SMDB → DB distribution</t>
  </si>
  <si>
    <t>5.3.19</t>
  </si>
  <si>
    <t>SMDB-1F → DB-T5 — SMDB → DB distribution</t>
  </si>
  <si>
    <t>5.3.20</t>
  </si>
  <si>
    <t>SMDB-1F → DB-T6 — SMDB → DB distribution</t>
  </si>
  <si>
    <t>5.3.21</t>
  </si>
  <si>
    <t>SMDB-1F → DB-T7 — SMDB → DB distribution</t>
  </si>
  <si>
    <t>5.3.22</t>
  </si>
  <si>
    <t>SMDB-1F → DB-T8 — SMDB → DB distribution</t>
  </si>
  <si>
    <t>5.3.23</t>
  </si>
  <si>
    <t>SMDB-1F → DB-T9 — SMDB → DB distribution</t>
  </si>
  <si>
    <t>5.3.24</t>
  </si>
  <si>
    <t>SMDB-1F → DB-T10 — SMDB → DB distribution</t>
  </si>
  <si>
    <t>5.3.25</t>
  </si>
  <si>
    <t>SMDB-1F → DB-T11 — SMDB → DB distribution</t>
  </si>
  <si>
    <t>5.3.26</t>
  </si>
  <si>
    <t>SMDB-1F → DB-T12 — SMDB → DB distribution</t>
  </si>
  <si>
    <t>5.3.27</t>
  </si>
  <si>
    <t>SMDB-1F → DB-T13 — SMDB → DB distribution</t>
  </si>
  <si>
    <t>5.3.28</t>
  </si>
  <si>
    <t>SMDB-1F → DB-T14 — SMDB → DB distribution</t>
  </si>
  <si>
    <t>5.3.29</t>
  </si>
  <si>
    <t>SMDB-1F → DB-T15 — SMDB → DB distribution</t>
  </si>
  <si>
    <t>5.3.30</t>
  </si>
  <si>
    <t>SMDB-3F → DB-T1 — SMDB → DB distribution</t>
  </si>
  <si>
    <t>5.3.31</t>
  </si>
  <si>
    <t>SMDB-3F → DB-T2 — SMDB → DB distribution</t>
  </si>
  <si>
    <t>5.3.32</t>
  </si>
  <si>
    <t>SMDB-3F → DB-T3 — SMDB → DB distribution</t>
  </si>
  <si>
    <t>5.3.33</t>
  </si>
  <si>
    <t>SMDB-3F → DB-T4 — SMDB → DB distribution</t>
  </si>
  <si>
    <t>5.3.34</t>
  </si>
  <si>
    <t>SMDB-3F → DB-T5 — SMDB → DB distribution</t>
  </si>
  <si>
    <t>5.3.35</t>
  </si>
  <si>
    <t>SMDB-3F → DB-T6 — SMDB → DB distribution</t>
  </si>
  <si>
    <t>5.3.36</t>
  </si>
  <si>
    <t>SMDB-3F → DB-T7 — SMDB → DB distribution</t>
  </si>
  <si>
    <t>5.3.37</t>
  </si>
  <si>
    <t>SMDB-3F → DB-T8 — SMDB → DB distribution</t>
  </si>
  <si>
    <t>5.3.38</t>
  </si>
  <si>
    <t>SMDB-3F → DB-T9 — SMDB → DB distribution</t>
  </si>
  <si>
    <t>5.3.39</t>
  </si>
  <si>
    <t>SMDB-3F → DB-T10 — SMDB → DB distribution</t>
  </si>
  <si>
    <t>5.3.40</t>
  </si>
  <si>
    <t>SMDB-3F → DB-T11 — SMDB → DB distribution</t>
  </si>
  <si>
    <t>5.3.41</t>
  </si>
  <si>
    <t>SMDB-3F → DB-T12 — SMDB → DB distribution</t>
  </si>
  <si>
    <t>5.3.42</t>
  </si>
  <si>
    <t>SMDB-3F → DB-T13 — SMDB → DB distribution</t>
  </si>
  <si>
    <t>5.3.43</t>
  </si>
  <si>
    <t>SMDB-3F → DB-T14 — SMDB → DB distribution</t>
  </si>
  <si>
    <t>5.3.44</t>
  </si>
  <si>
    <t>SMDB-3F → DB-T15 — SMDB → DB distribution</t>
  </si>
  <si>
    <t>5.3.45</t>
  </si>
  <si>
    <t>SMDB-5F → DB-T1 — SMDB → DB distribution</t>
  </si>
  <si>
    <t>5.3.46</t>
  </si>
  <si>
    <t>SMDB-5F → DB-T2 — SMDB → DB distribution</t>
  </si>
  <si>
    <t>5.3.47</t>
  </si>
  <si>
    <t>SMDB-5F → DB-T3 — SMDB → DB distribution</t>
  </si>
  <si>
    <t>5.3.48</t>
  </si>
  <si>
    <t>SMDB-5F → DB-T4 — SMDB → DB distribution</t>
  </si>
  <si>
    <t>5.3.49</t>
  </si>
  <si>
    <t>SMDB-5F → DB-T5 — SMDB → DB distribution</t>
  </si>
  <si>
    <t>5.3.50</t>
  </si>
  <si>
    <t>SMDB-5F → DB-T6 — SMDB → DB distribution</t>
  </si>
  <si>
    <t>5.3.51</t>
  </si>
  <si>
    <t>SMDB-5F → DB-T7 — SMDB → DB distribution</t>
  </si>
  <si>
    <t>5.3.52</t>
  </si>
  <si>
    <t>SMDB-5F → DB-T8 — SMDB → DB distribution</t>
  </si>
  <si>
    <t>5.3.53</t>
  </si>
  <si>
    <t>SMDB-5F → DB-T9 — SMDB → DB distribution</t>
  </si>
  <si>
    <t>5.3.54</t>
  </si>
  <si>
    <t>SMDB-5F → DB-T10 — SMDB → DB distribution</t>
  </si>
  <si>
    <t>5.3.55</t>
  </si>
  <si>
    <t>SMDB-5F → DB-T11 — SMDB → DB distribution</t>
  </si>
  <si>
    <t>5.3.56</t>
  </si>
  <si>
    <t>SMDB-5F → DB-T12 — SMDB → DB distribution</t>
  </si>
  <si>
    <t>5.3.57</t>
  </si>
  <si>
    <t>SMDB-5F → DB-T13 — SMDB → DB distribution</t>
  </si>
  <si>
    <t>5.3.58</t>
  </si>
  <si>
    <t>SMDB-5F → DB-T14 — SMDB → DB distribution</t>
  </si>
  <si>
    <t>5.3.59</t>
  </si>
  <si>
    <t>SMDB-5F → DB-T15 — SMDB → DB distribution</t>
  </si>
  <si>
    <t>5.3.60</t>
  </si>
  <si>
    <t>SMDB-7F → DB-T1 — SMDB → DB distribution</t>
  </si>
  <si>
    <t>5.3.61</t>
  </si>
  <si>
    <t>SMDB-7F → DB-T2 — SMDB → DB distribution</t>
  </si>
  <si>
    <t>5.3.62</t>
  </si>
  <si>
    <t>SMDB-7F → DB-T3 — SMDB → DB distribution</t>
  </si>
  <si>
    <t>5.3.63</t>
  </si>
  <si>
    <t>SMDB-7F → DB-T4 — SMDB → DB distribution</t>
  </si>
  <si>
    <t>5.3.64</t>
  </si>
  <si>
    <t>SMDB-7F → DB-T5 — SMDB → DB distribution</t>
  </si>
  <si>
    <t>5.3.65</t>
  </si>
  <si>
    <t>SMDB-7F → DB-T6 — SMDB → DB distribution</t>
  </si>
  <si>
    <t>5.3.66</t>
  </si>
  <si>
    <t>SMDB-7F → DB-T7 — SMDB → DB distribution</t>
  </si>
  <si>
    <t>5.3.67</t>
  </si>
  <si>
    <t>SMDB-7F → DB-T8 — SMDB → DB distribution</t>
  </si>
  <si>
    <t>5.3.68</t>
  </si>
  <si>
    <t>SMDB-7F → DB-T9 — SMDB → DB distribution</t>
  </si>
  <si>
    <t>5.3.69</t>
  </si>
  <si>
    <t>SMDB-7F → DB-T10 — SMDB → DB distribution</t>
  </si>
  <si>
    <t>5.3.70</t>
  </si>
  <si>
    <t>SMDB-7F → DB-T11 — SMDB → DB distribution</t>
  </si>
  <si>
    <t>5.3.71</t>
  </si>
  <si>
    <t>SMDB-7F → DB-T12 — SMDB → DB distribution</t>
  </si>
  <si>
    <t>5.3.72</t>
  </si>
  <si>
    <t>SMDB-7F → DB-T13 — SMDB → DB distribution</t>
  </si>
  <si>
    <t>5.3.73</t>
  </si>
  <si>
    <t>SMDB-7F → DB-T14 — SMDB → DB distribution</t>
  </si>
  <si>
    <t>5.3.74</t>
  </si>
  <si>
    <t>SMDB-7F → DB-T15 — SMDB → DB distribution</t>
  </si>
  <si>
    <t>5.3.75</t>
  </si>
  <si>
    <t>SMDB-2F → DB-T1 — SMDB → DB distribution</t>
  </si>
  <si>
    <t>5.3.76</t>
  </si>
  <si>
    <t>SMDB-2F → DB-T2 — SMDB → DB distribution</t>
  </si>
  <si>
    <t>5.3.77</t>
  </si>
  <si>
    <t>SMDB-2F → DB-T3 — SMDB → DB distribution</t>
  </si>
  <si>
    <t>5.3.78</t>
  </si>
  <si>
    <t>SMDB-2F → DB-T4 — SMDB → DB distribution</t>
  </si>
  <si>
    <t>5.3.79</t>
  </si>
  <si>
    <t>SMDB-2F → DB-T5 — SMDB → DB distribution</t>
  </si>
  <si>
    <t>5.3.80</t>
  </si>
  <si>
    <t>SMDB-2F → DB-T6 — SMDB → DB distribution</t>
  </si>
  <si>
    <t>5.3.81</t>
  </si>
  <si>
    <t>SMDB-2F → DB-T7 — SMDB → DB distribution</t>
  </si>
  <si>
    <t>5.3.82</t>
  </si>
  <si>
    <t>SMDB-2F → DB-T8 — SMDB → DB distribution</t>
  </si>
  <si>
    <t>5.3.83</t>
  </si>
  <si>
    <t>SMDB-2F → DB-T9 — SMDB → DB distribution</t>
  </si>
  <si>
    <t>5.3.84</t>
  </si>
  <si>
    <t>SMDB-2F → DB-T10 — SMDB → DB distribution</t>
  </si>
  <si>
    <t>5.3.85</t>
  </si>
  <si>
    <t>SMDB-2F → DB-T11 — SMDB → DB distribution</t>
  </si>
  <si>
    <t>5.3.86</t>
  </si>
  <si>
    <t>SMDB-2F → DB-T12 — SMDB → DB distribution</t>
  </si>
  <si>
    <t>5.3.87</t>
  </si>
  <si>
    <t>SMDB-2F → DB-T13 — SMDB → DB distribution</t>
  </si>
  <si>
    <t>5.3.88</t>
  </si>
  <si>
    <t>SMDB-2F → DB-T14 — SMDB → DB distribution</t>
  </si>
  <si>
    <t>5.3.89</t>
  </si>
  <si>
    <t>SMDB-2F → DB-T15 — SMDB → DB distribution</t>
  </si>
  <si>
    <t>5.3.90</t>
  </si>
  <si>
    <t>SMDB-4F → DB-T1 — SMDB → DB distribution</t>
  </si>
  <si>
    <t>5.3.91</t>
  </si>
  <si>
    <t>SMDB-4F → DB-T2 — SMDB → DB distribution</t>
  </si>
  <si>
    <t>5.3.92</t>
  </si>
  <si>
    <t>SMDB-4F → DB-T3 — SMDB → DB distribution</t>
  </si>
  <si>
    <t>5.3.93</t>
  </si>
  <si>
    <t>SMDB-4F → DB-T4 — SMDB → DB distribution</t>
  </si>
  <si>
    <t>5.3.94</t>
  </si>
  <si>
    <t>SMDB-4F → DB-T5 — SMDB → DB distribution</t>
  </si>
  <si>
    <t>5.3.95</t>
  </si>
  <si>
    <t>SMDB-4F → DB-T6 — SMDB → DB distribution</t>
  </si>
  <si>
    <t>5.3.96</t>
  </si>
  <si>
    <t>SMDB-4F → DB-T7 — SMDB → DB distribution</t>
  </si>
  <si>
    <t>5.3.97</t>
  </si>
  <si>
    <t>SMDB-4F → DB-T8 — SMDB → DB distribution</t>
  </si>
  <si>
    <t>5.3.98</t>
  </si>
  <si>
    <t>SMDB-4F → DB-T9 — SMDB → DB distribution</t>
  </si>
  <si>
    <t>5.3.99</t>
  </si>
  <si>
    <t>SMDB-4F → DB-T10 — SMDB → DB distribution</t>
  </si>
  <si>
    <t>5.3.100</t>
  </si>
  <si>
    <t>SMDB-4F → DB-T11 — SMDB → DB distribution</t>
  </si>
  <si>
    <t>5.3.101</t>
  </si>
  <si>
    <t>SMDB-4F → DB-T12 — SMDB → DB distribution</t>
  </si>
  <si>
    <t>5.3.102</t>
  </si>
  <si>
    <t>SMDB-4F → DB-T13 — SMDB → DB distribution</t>
  </si>
  <si>
    <t>5.3.103</t>
  </si>
  <si>
    <t>SMDB-4F → DB-T14 — SMDB → DB distribution</t>
  </si>
  <si>
    <t>5.3.104</t>
  </si>
  <si>
    <t>SMDB-4F → DB-T15 — SMDB → DB distribution</t>
  </si>
  <si>
    <t>5.3.105</t>
  </si>
  <si>
    <t>SMDB-6F → DB-T1 — SMDB → DB distribution</t>
  </si>
  <si>
    <t>5.3.106</t>
  </si>
  <si>
    <t>SMDB-6F → DB-T2 — SMDB → DB distribution</t>
  </si>
  <si>
    <t>5.3.107</t>
  </si>
  <si>
    <t>SMDB-6F → DB-T3 — SMDB → DB distribution</t>
  </si>
  <si>
    <t>5.3.108</t>
  </si>
  <si>
    <t>SMDB-6F → DB-T4 — SMDB → DB distribution</t>
  </si>
  <si>
    <t>5.3.109</t>
  </si>
  <si>
    <t>SMDB-6F → DB-T5 — SMDB → DB distribution</t>
  </si>
  <si>
    <t>5.3.110</t>
  </si>
  <si>
    <t>SMDB-6F → DB-T6 — SMDB → DB distribution</t>
  </si>
  <si>
    <t>5.3.111</t>
  </si>
  <si>
    <t>SMDB-6F → DB-T7 — SMDB → DB distribution</t>
  </si>
  <si>
    <t>5.3.112</t>
  </si>
  <si>
    <t>SMDB-6F → DB-T8 — SMDB → DB distribution</t>
  </si>
  <si>
    <t>5.3.113</t>
  </si>
  <si>
    <t>SMDB-6F → DB-T9 — SMDB → DB distribution</t>
  </si>
  <si>
    <t>5.3.114</t>
  </si>
  <si>
    <t>SMDB-6F → DB-T10 — SMDB → DB distribution</t>
  </si>
  <si>
    <t>5.3.115</t>
  </si>
  <si>
    <t>SMDB-6F → DB-T11 — SMDB → DB distribution</t>
  </si>
  <si>
    <t>5.3.116</t>
  </si>
  <si>
    <t>SMDB-6F → DB-T12 — SMDB → DB distribution</t>
  </si>
  <si>
    <t>5.3.117</t>
  </si>
  <si>
    <t>SMDB-6F → DB-T13 — SMDB → DB distribution</t>
  </si>
  <si>
    <t>5.3.118</t>
  </si>
  <si>
    <t>SMDB-6F → DB-T14 — SMDB → DB distribution</t>
  </si>
  <si>
    <t>5.3.119</t>
  </si>
  <si>
    <t>SMDB-6F → DB-T15 — SMDB → DB distribution</t>
  </si>
  <si>
    <t>5.3.120</t>
  </si>
  <si>
    <t>SMDB-8F → DB-T1 — SMDB → DB distribution</t>
  </si>
  <si>
    <t>5.3.121</t>
  </si>
  <si>
    <t>SMDB-8F → DB-T2 — SMDB → DB distribution</t>
  </si>
  <si>
    <t>5.3.122</t>
  </si>
  <si>
    <t>SMDB-8F → DB-T3 — SMDB → DB distribution</t>
  </si>
  <si>
    <t>5.3.123</t>
  </si>
  <si>
    <t>SMDB-8F → DB-T4 — SMDB → DB distribution</t>
  </si>
  <si>
    <t>5.3.124</t>
  </si>
  <si>
    <t>SMDB-8F → DB-T5 — SMDB → DB distribution</t>
  </si>
  <si>
    <t>5.3.125</t>
  </si>
  <si>
    <t>SMDB-8F → DB-T6 — SMDB → DB distribution</t>
  </si>
  <si>
    <t>5.3.126</t>
  </si>
  <si>
    <t>SMDB-8F → DB-T7 — SMDB → DB distribution</t>
  </si>
  <si>
    <t>5.3.127</t>
  </si>
  <si>
    <t>SMDB-8F → DB-T8 — SMDB → DB distribution</t>
  </si>
  <si>
    <t>5.3.128</t>
  </si>
  <si>
    <t>SMDB-8F → DB-T9 — SMDB → DB distribution</t>
  </si>
  <si>
    <t>5.3.129</t>
  </si>
  <si>
    <t>SMDB-8F → DB-T10 — SMDB → DB distribution</t>
  </si>
  <si>
    <t>5.3.130</t>
  </si>
  <si>
    <t>SMDB-8F → DB-T11 — SMDB → DB distribution</t>
  </si>
  <si>
    <t>5.3.131</t>
  </si>
  <si>
    <t>SMDB-8F → DB-T12 — SMDB → DB distribution</t>
  </si>
  <si>
    <t>5.3.132</t>
  </si>
  <si>
    <t>SMDB-8F → DB-T13 — SMDB → DB distribution</t>
  </si>
  <si>
    <t>5.3.133</t>
  </si>
  <si>
    <t>SMDB-8F → DB-T14 — SMDB → DB distribution</t>
  </si>
  <si>
    <t>5.3.134</t>
  </si>
  <si>
    <t>SMDB-8F → DB-T15 — SMDB → DB distribution</t>
  </si>
  <si>
    <t>Sub-Total 5.3</t>
  </si>
  <si>
    <t>5.5 — LSZH CABLES — Public-Area &amp; Escape-Route Final Circuits (DCD compliance)</t>
  </si>
  <si>
    <t>5.5.1</t>
  </si>
  <si>
    <t>LSZH 4C × 16 mm²</t>
  </si>
  <si>
    <t>Corridor &amp; lobby final-circuit risers, escape-route mains (BS 7211 / IEC 60332-3 Cat C / IEC 61034 / IEC 60754).</t>
  </si>
  <si>
    <t>P-103 … P-108 / P-201</t>
  </si>
  <si>
    <t>📋  Ducab LSZH / Prysmian / Helkama / Nexans</t>
  </si>
  <si>
    <t>5.5.2</t>
  </si>
  <si>
    <t>LSZH 3C × 4 mm² Cu</t>
  </si>
  <si>
    <t>Apartment lighting &amp; socket sub-mains in escape corridors.</t>
  </si>
  <si>
    <t>5.5.3</t>
  </si>
  <si>
    <t>LSZH 3C × 2.5 mm² Cu</t>
  </si>
  <si>
    <t>Final-circuit drops to apartment outlets &amp; accessories on escape route.</t>
  </si>
  <si>
    <t>5.5.4</t>
  </si>
  <si>
    <t>LSZH 2C × 1.5 mm² Cu</t>
  </si>
  <si>
    <t>Emergency / exit-sign final circuits (combined with FR per Bill 5.2).</t>
  </si>
  <si>
    <t>📋  Ducab FR / Pirelli / Prysmian / Nexans</t>
  </si>
  <si>
    <t>Sub-Total 5.5</t>
  </si>
  <si>
    <t>5.7 — EARTH CONTINUITY CONDUCTORS (ECC) ALONGSIDE RISING MAINS</t>
  </si>
  <si>
    <t>5.7.1</t>
  </si>
  <si>
    <t>1C × 35 mm² G/Y XLPE ECC</t>
  </si>
  <si>
    <t>Alongside fire-rated rising mains (allowance).</t>
  </si>
  <si>
    <t>P-200 (SLD) / BS 6004</t>
  </si>
  <si>
    <t>5.7.2</t>
  </si>
  <si>
    <t>1C × 10–70 mm² G/Y XLPE ECC</t>
  </si>
  <si>
    <t>Alongside XLPE rising mains (allow per run).</t>
  </si>
  <si>
    <t>📋  Ducab / NCC / Oman Cables / Riyadh Cables</t>
  </si>
  <si>
    <t>Sub-Total 5.7</t>
  </si>
  <si>
    <t>BILL 5 — TOTAL CARRIED TO SUMMARY</t>
  </si>
  <si>
    <t>BILL No. 6 — CABLE CONTAINMENT (TRAY, LADDER, TRUNKING, CONDUIT)</t>
  </si>
  <si>
    <t>6.1 — CABLE TRAYS, LADDERS, TRUNKING &amp; CONDUITS</t>
  </si>
  <si>
    <t>6.1.1</t>
  </si>
  <si>
    <t>300mm wide HDGI cable tray — LV room + main vertical risers, hot-dip galvanised to BS EN ISO 1461, c/w supports at max 1.5m centres on horizontal / 1.0m on vertical, brackets, bends, tees, reducers, copplers, fixings, earth bonding straps.</t>
  </si>
  <si>
    <t>P-010 (Cable tray detail) / P-201</t>
  </si>
  <si>
    <t>📋  Marshall Tufflex / Vergokan / Niedax / Eltete</t>
  </si>
  <si>
    <t>6.1.2</t>
  </si>
  <si>
    <t>150mm wide HDGI cable tray — SMDB to DB horizontal distribution, hot-dip galvanised to BS EN ISO 1461, c/w supports at max 1.5m centres on horizontal / 1.0m on vertical, brackets, bends, tees, reducers, copplers, fixings, earth bonding straps.</t>
  </si>
  <si>
    <t>6.1.3</t>
  </si>
  <si>
    <t>100mm wide HDGI cable tray — branch distribution, hot-dip galvanised to BS EN ISO 1461, c/w supports at max 1.5m centres on horizontal / 1.0m on vertical, brackets, bends, tees, reducers, copplers, fixings, earth bonding straps.</t>
  </si>
  <si>
    <t>6.1.4</t>
  </si>
  <si>
    <t>100×100mm GI trunking — riser shafts, hot-dip galvanised to BS EN ISO 1461, c/w supports at max 1.5m centres on horizontal / 1.0m on vertical, brackets, bends, tees, reducers, copplers, fixings, earth bonding straps.</t>
  </si>
  <si>
    <t>📋  Marshall Tufflex / Pemsa / Atkore / DSS</t>
  </si>
  <si>
    <t>6.1.5</t>
  </si>
  <si>
    <t>Ø25mm GI conduit — exposed / mechanical equipment &amp; wet areas, hot-dip galvanised to BS EN ISO 1461, c/w supports at max 1.5m centres on horizontal / 1.0m on vertical, brackets, bends, tees, reducers, copplers, fixings, earth bonding straps.</t>
  </si>
  <si>
    <t>6.1.6</t>
  </si>
  <si>
    <t>Ø25mm PVC conduit — concealed sub-mains, hot-dip galvanised to BS EN ISO 1461, c/w supports at max 1.5m centres on horizontal / 1.0m on vertical, brackets, bends, tees, reducers, copplers, fixings, earth bonding straps.</t>
  </si>
  <si>
    <t>6.1.7</t>
  </si>
  <si>
    <t>Ø20mm PVC conduit — concealed final circuits to outlets &amp; lighting points, hot-dip galvanised to BS EN ISO 1461, c/w supports at max 1.5m centres on horizontal / 1.0m on vertical, brackets, bends, tees, reducers, copplers, fixings, earth bonding straps.</t>
  </si>
  <si>
    <t>6.1.8</t>
  </si>
  <si>
    <t>Pull boxes at every 15m of conduit run or two 90° bends (General Note 14), hot-dip galvanised to BS EN ISO 1461, c/w supports at max 1.5m centres on horizontal / 1.0m on vertical, brackets, bends, tees, reducers, copplers, fixings, earth bonding straps.</t>
  </si>
  <si>
    <t>Sub-Total 6.1</t>
  </si>
  <si>
    <t>BILL 6 — TOTAL CARRIED TO SUMMARY</t>
  </si>
  <si>
    <t>BILL No. 7 — WIRING DEVICES &amp; ACCESSORIES</t>
  </si>
  <si>
    <t>7.1 — BASEMENT — SOCKET OUTLETS &amp; SMALL POWER</t>
  </si>
  <si>
    <t>7.1.1</t>
  </si>
  <si>
    <t>13A 230V weatherproof IP55 socket outlet</t>
  </si>
  <si>
    <t>P-103 … P-108 (Floor plans)</t>
  </si>
  <si>
    <t>📋  MK / Schneider / Legrand / Hager</t>
  </si>
  <si>
    <t>7.1.2</t>
  </si>
  <si>
    <t>13A 230V SP switched socket outlet (BS 1363)</t>
  </si>
  <si>
    <t>7.1.3</t>
  </si>
  <si>
    <t>20A 230V DP switch — water heater / cooker isolation</t>
  </si>
  <si>
    <t>Sub-Total 7.1 — Basement</t>
  </si>
  <si>
    <t>7.2 — GROUND FLOOR — SOCKET OUTLETS &amp; SMALL POWER</t>
  </si>
  <si>
    <t>7.2.1</t>
  </si>
  <si>
    <t>7.2.2</t>
  </si>
  <si>
    <t>13A 230V twin switched socket outlet (BS 1363)</t>
  </si>
  <si>
    <t>7.2.3</t>
  </si>
  <si>
    <t>7.2.4</t>
  </si>
  <si>
    <t>Floor box — 13A twin socket + RJ45 dual outlet</t>
  </si>
  <si>
    <t>7.2.5</t>
  </si>
  <si>
    <t>13A flex outlet for hand dryer (common WCs)</t>
  </si>
  <si>
    <t>7.2.6</t>
  </si>
  <si>
    <t>13A switched fused spur with neon for FCU (AC indoor unit)</t>
  </si>
  <si>
    <t>Sub-Total 7.2 — Ground Floor</t>
  </si>
  <si>
    <t>7.3 — 1F — SOCKET OUTLETS &amp; SMALL POWER</t>
  </si>
  <si>
    <t>7.3.1</t>
  </si>
  <si>
    <t>7.3.2</t>
  </si>
  <si>
    <t>7.3.3</t>
  </si>
  <si>
    <t>13A 230V twin switched socket outlet + USB-A/USB-C ports</t>
  </si>
  <si>
    <t>7.3.4</t>
  </si>
  <si>
    <t>7.3.5</t>
  </si>
  <si>
    <t>20A 230V flex outlet for water heater (with neon)</t>
  </si>
  <si>
    <t>7.3.6</t>
  </si>
  <si>
    <t>7.3.7</t>
  </si>
  <si>
    <t>7.3.8</t>
  </si>
  <si>
    <t>13A flex outlet for gas hob / cooker point</t>
  </si>
  <si>
    <t>Sub-Total 7.3 — 1F</t>
  </si>
  <si>
    <t>7.4 — 2F — SOCKET OUTLETS &amp; SMALL POWER</t>
  </si>
  <si>
    <t>7.4.1</t>
  </si>
  <si>
    <t>7.4.2</t>
  </si>
  <si>
    <t>7.4.3</t>
  </si>
  <si>
    <t>7.4.4</t>
  </si>
  <si>
    <t>7.4.5</t>
  </si>
  <si>
    <t>7.4.6</t>
  </si>
  <si>
    <t>7.4.7</t>
  </si>
  <si>
    <t>7.4.8</t>
  </si>
  <si>
    <t>Sub-Total 7.4 — 2F</t>
  </si>
  <si>
    <t>7.5 — 3F — SOCKET OUTLETS &amp; SMALL POWER</t>
  </si>
  <si>
    <t>7.5.1</t>
  </si>
  <si>
    <t>7.5.2</t>
  </si>
  <si>
    <t>7.5.3</t>
  </si>
  <si>
    <t>7.5.4</t>
  </si>
  <si>
    <t>7.5.5</t>
  </si>
  <si>
    <t>7.5.6</t>
  </si>
  <si>
    <t>7.5.7</t>
  </si>
  <si>
    <t>7.5.8</t>
  </si>
  <si>
    <t>Sub-Total 7.5 — 3F</t>
  </si>
  <si>
    <t>7.6 — 4F — SOCKET OUTLETS &amp; SMALL POWER</t>
  </si>
  <si>
    <t>7.6.1</t>
  </si>
  <si>
    <t>7.6.2</t>
  </si>
  <si>
    <t>7.6.3</t>
  </si>
  <si>
    <t>7.6.4</t>
  </si>
  <si>
    <t>7.6.5</t>
  </si>
  <si>
    <t>7.6.6</t>
  </si>
  <si>
    <t>7.6.7</t>
  </si>
  <si>
    <t>7.6.8</t>
  </si>
  <si>
    <t>Sub-Total 7.6 — 4F</t>
  </si>
  <si>
    <t>7.7 — 5F — SOCKET OUTLETS &amp; SMALL POWER</t>
  </si>
  <si>
    <t>7.7.1</t>
  </si>
  <si>
    <t>7.7.2</t>
  </si>
  <si>
    <t>7.7.3</t>
  </si>
  <si>
    <t>7.7.4</t>
  </si>
  <si>
    <t>7.7.5</t>
  </si>
  <si>
    <t>7.7.6</t>
  </si>
  <si>
    <t>7.7.7</t>
  </si>
  <si>
    <t>7.7.8</t>
  </si>
  <si>
    <t>Sub-Total 7.7 — 5F</t>
  </si>
  <si>
    <t>7.8 — 6F — SOCKET OUTLETS &amp; SMALL POWER</t>
  </si>
  <si>
    <t>7.8.1</t>
  </si>
  <si>
    <t>7.8.2</t>
  </si>
  <si>
    <t>7.8.3</t>
  </si>
  <si>
    <t>7.8.4</t>
  </si>
  <si>
    <t>7.8.5</t>
  </si>
  <si>
    <t>7.8.6</t>
  </si>
  <si>
    <t>7.8.7</t>
  </si>
  <si>
    <t>7.8.8</t>
  </si>
  <si>
    <t>Sub-Total 7.8 — 6F</t>
  </si>
  <si>
    <t>7.9 — 7F — SOCKET OUTLETS &amp; SMALL POWER</t>
  </si>
  <si>
    <t>7.9.1</t>
  </si>
  <si>
    <t>7.9.2</t>
  </si>
  <si>
    <t>7.9.3</t>
  </si>
  <si>
    <t>7.9.4</t>
  </si>
  <si>
    <t>7.9.5</t>
  </si>
  <si>
    <t>7.9.6</t>
  </si>
  <si>
    <t>7.9.7</t>
  </si>
  <si>
    <t>7.9.8</t>
  </si>
  <si>
    <t>Sub-Total 7.9 — 7F</t>
  </si>
  <si>
    <t>7.10 — 8F — SOCKET OUTLETS &amp; SMALL POWER</t>
  </si>
  <si>
    <t>7.10.1</t>
  </si>
  <si>
    <t>7.10.2</t>
  </si>
  <si>
    <t>7.10.3</t>
  </si>
  <si>
    <t>7.10.4</t>
  </si>
  <si>
    <t>7.10.5</t>
  </si>
  <si>
    <t>7.10.6</t>
  </si>
  <si>
    <t>7.10.7</t>
  </si>
  <si>
    <t>7.10.8</t>
  </si>
  <si>
    <t>Sub-Total 7.10 — 8F</t>
  </si>
  <si>
    <t>7.11 — ROOF — SOCKET OUTLETS &amp; SMALL POWER</t>
  </si>
  <si>
    <t>7.11.1</t>
  </si>
  <si>
    <t>16A industrial socket outlet — BMU provision</t>
  </si>
  <si>
    <t>7.11.2</t>
  </si>
  <si>
    <t>Sub-Total 7.11 — Roof</t>
  </si>
  <si>
    <t>7.12 — SWITCHES &amp; CONTROLS</t>
  </si>
  <si>
    <t>7.12.1</t>
  </si>
  <si>
    <t>1-gang / 2-gang lighting switches, 10A 250V grid-style, white moulded plate (BS 3676)</t>
  </si>
  <si>
    <t>7.12.2</t>
  </si>
  <si>
    <t>2-way / intermediate switches (corridors, stairs)</t>
  </si>
  <si>
    <t>7.12.3</t>
  </si>
  <si>
    <t>Dimmer switch, 1-gang, 250 W LED-compatible</t>
  </si>
  <si>
    <t>7.12.4</t>
  </si>
  <si>
    <t>Occupancy / PIR sensor (corridors, BOH, stores), with manual override</t>
  </si>
  <si>
    <t>7.12.5</t>
  </si>
  <si>
    <t>Doorbell push + chime kit (apartments)</t>
  </si>
  <si>
    <t>7.12.6</t>
  </si>
  <si>
    <t>Connection unit (FCU), 3 A fused, for ceiling/extract fans</t>
  </si>
  <si>
    <t>Sub-Total 7.12</t>
  </si>
  <si>
    <t>7.13 — ISOLATORS &amp; EV CHARGER OUTLETS</t>
  </si>
  <si>
    <t>7.13.1</t>
  </si>
  <si>
    <t>Isolator, 4P 32A, weatherproof IP55, for outdoor mech. equipment</t>
  </si>
  <si>
    <t>7.13.2</t>
  </si>
  <si>
    <t>Isolator, 2P 20A, indoor IP20 — small fixed equipment</t>
  </si>
  <si>
    <t>7.13.3</t>
  </si>
  <si>
    <t>EV charger socket outlet — 7 kW AC Mode 3 Type 2 (basement parking)</t>
  </si>
  <si>
    <t>📋  ABB Terra / Schneider / Wallbox / Delta</t>
  </si>
  <si>
    <t>7.13.4</t>
  </si>
  <si>
    <t>EV charger socket outlet — 22 kW AC Mode 3 Type 2 (basement parking)</t>
  </si>
  <si>
    <t>Sub-Total 7.13</t>
  </si>
  <si>
    <t>BILL 7 — TOTAL CARRIED TO SUMMARY</t>
  </si>
  <si>
    <t>BILL No. 8 — LIGHTING FIXTURES (INTERNAL + EXTERNAL)</t>
  </si>
  <si>
    <t>8.0 — GENERIC ESTIMATE (no fixture legend read from drawings — review against ELV/lighting layout)</t>
  </si>
  <si>
    <t>8.1 — INTERIOR LIGHTING — APARTMENTS &amp; COMMON AREAS</t>
  </si>
  <si>
    <t>8.1.1</t>
  </si>
  <si>
    <t>Recessed LED downlight, 12 W / 800 lm, 4000 K, IP20, anti-glare reflector (apartments, lobby, corridors)</t>
  </si>
  <si>
    <t>📋  Philips / Osram / Trilux / Thorn / Cooper</t>
  </si>
  <si>
    <t>8.1.2</t>
  </si>
  <si>
    <t>Surface-mount LED panel, 600×600 mm, 36 W / 3600 lm, 4000 K (lobby, BOH)</t>
  </si>
  <si>
    <t>8.1.3</t>
  </si>
  <si>
    <t>Linear LED batten 1200 mm, 36 W / 4000 lm, 4000 K, IP40 (car park, services)</t>
  </si>
  <si>
    <t>8.1.4</t>
  </si>
  <si>
    <t>Bulkhead LED fitting, 12 W, IP65, polycarbonate (staircase, plant rooms)</t>
  </si>
  <si>
    <t>8.1.5</t>
  </si>
  <si>
    <t>Wall-mounted LED bracket light (corridors, accent)</t>
  </si>
  <si>
    <t>8.1.6</t>
  </si>
  <si>
    <t>Pendant decorative LED fixture (lobby — provisional)</t>
  </si>
  <si>
    <t>8.1.7</t>
  </si>
  <si>
    <t>Track lighting LED spot, 15 W, 3000 K (retail — provisional)</t>
  </si>
  <si>
    <t>Sub-Total 8.1</t>
  </si>
  <si>
    <t>8.2 — EXTERIOR LIGHTING (Façade, Podium, Parking)</t>
  </si>
  <si>
    <t>8.2.1</t>
  </si>
  <si>
    <t>External wall-mounted LED fixture, 24 W, IP65, anti-glare optic (podium, façade)</t>
  </si>
  <si>
    <t>P-100 (Site / external)</t>
  </si>
  <si>
    <t>📋  Philips Lumec / Disano / iGuzzini / Thorn</t>
  </si>
  <si>
    <t>8.2.2</t>
  </si>
  <si>
    <t>Pole-mounted parking LED area light, 80 W, 4000 K, IP66, on 6 m pole</t>
  </si>
  <si>
    <t>8.2.3</t>
  </si>
  <si>
    <t>Step / kerb LED light, 3 W, IP67, recessed</t>
  </si>
  <si>
    <t>8.2.4</t>
  </si>
  <si>
    <t>Bollard LED, 20 W, IP65, 800 mm height (landscape)</t>
  </si>
  <si>
    <t>8.2.5</t>
  </si>
  <si>
    <t>Façade LED linear / wall-grazer, IP66 (provisional sum)</t>
  </si>
  <si>
    <t>Sub-Total 8.2</t>
  </si>
  <si>
    <t>8.3 — LIGHTING CONTROLS</t>
  </si>
  <si>
    <t>8.3.1</t>
  </si>
  <si>
    <t>Time-clock / astronomical timer for façade and external lighting</t>
  </si>
  <si>
    <t>P-200 (SLD) / Lighting controls</t>
  </si>
  <si>
    <t>8.3.2</t>
  </si>
  <si>
    <t>Photocell / daylight sensor for external circuits</t>
  </si>
  <si>
    <t>8.3.3</t>
  </si>
  <si>
    <t>DALI/0-10V dimmer module for common-area lighting (provisional)</t>
  </si>
  <si>
    <t>Sub-Total 8.3</t>
  </si>
  <si>
    <t>BILL 8 — TOTAL CARRIED TO SUMMARY</t>
  </si>
  <si>
    <t>BILL No. 9 — EARTHING &amp; LIGHTNING PROTECTION</t>
  </si>
  <si>
    <t>9.1 — MAIN EARTHING SYSTEM (TN-S, ≤ 1 Ω)</t>
  </si>
  <si>
    <t>9.1.1</t>
  </si>
  <si>
    <t>Water-tight double-seal earth pit at basement level c/w 366mmØ seal tube, inspection chamber &amp; low-resistance backfill (resistance test &lt; 1 Ω)</t>
  </si>
  <si>
    <t>P-300 (LV room) / P-001 (Notes)</t>
  </si>
  <si>
    <t>📋  Erico / Furse / DEHN / Pentair</t>
  </si>
  <si>
    <t>9.1.2</t>
  </si>
  <si>
    <t>Copper earth rod 17.2mmØ × 3000mm solid copper (per earthing detail)</t>
  </si>
  <si>
    <t>9.1.3</t>
  </si>
  <si>
    <t>1C × 70mm² bare copper main earth conductor — earth pits to Main Earth Bar / DEWA earth terminal</t>
  </si>
  <si>
    <t>9.1.4</t>
  </si>
  <si>
    <t>1C × 25mm² G/Y earth conductor — MEB to SMDB sub-earth bars and risers</t>
  </si>
  <si>
    <t>9.1.5</t>
  </si>
  <si>
    <t>1C × 16mm² G/Y earth conductor — SMDB sub-bar to each DB plus cable-tray/trunking bonding</t>
  </si>
  <si>
    <t>9.1.6</t>
  </si>
  <si>
    <t>Main Earth Bar (MEB) 50×6mm copper busbar in LV room, drilled, insulated, labelled</t>
  </si>
  <si>
    <t>9.1.7</t>
  </si>
  <si>
    <t>Surge Protection Device (SPD Type 1+2) at LV panel incomer</t>
  </si>
  <si>
    <t>📋  DEHN / Erico / Furse / Helita</t>
  </si>
  <si>
    <t>9.1.8</t>
  </si>
  <si>
    <t>Earth bonding of all steel equipment, trays, trunking &amp; supports (per General Note 15/19)</t>
  </si>
  <si>
    <t>Sub-Total 9.1</t>
  </si>
  <si>
    <t>9.2 — LIGHTNING PROTECTION (IEC 62305)</t>
  </si>
  <si>
    <t>9.2.1</t>
  </si>
  <si>
    <t>Air termination — Franklin/ESE rod, copper-bonded, with insulator + fixing (rooftop)</t>
  </si>
  <si>
    <t>P-100 (Site) / P-108 (Roof)</t>
  </si>
  <si>
    <t>9.2.2</t>
  </si>
  <si>
    <t>Down conductor — 50mm² bare copper tape/wire, full building height (basement to roof)</t>
  </si>
  <si>
    <t>9.2.3</t>
  </si>
  <si>
    <t>Test point chamber with disconnector, lockable lid, at base of each down conductor</t>
  </si>
  <si>
    <t>9.2.4</t>
  </si>
  <si>
    <t>Earth electrode for LP system — copper-bonded rod + inspection chamber</t>
  </si>
  <si>
    <t>9.2.5</t>
  </si>
  <si>
    <t>Surge protection device (SPD) Type 1+2 at LV panel main incomer</t>
  </si>
  <si>
    <t>9.2.6</t>
  </si>
  <si>
    <t>Lightning protection design certification, risk assessment per IEC 62305-2</t>
  </si>
  <si>
    <t>9.2.7</t>
  </si>
  <si>
    <t>LP testing &amp; DEWA acceptance certificate</t>
  </si>
  <si>
    <t>Sub-Total 9.2</t>
  </si>
  <si>
    <t>BILL 9 — TOTAL CARRIED TO SUMMARY</t>
  </si>
  <si>
    <t>BILL No. 10 — EMERGENCY LIGHTING &amp; LIFE SAFETY</t>
  </si>
  <si>
    <t>10.1 — EMERGENCY LUMINAIRES (3-hour autonomy)</t>
  </si>
  <si>
    <t>10.1.1</t>
  </si>
  <si>
    <t>Self-contained emergency LED downlight, 3 W, 3-hour duration, IP20, with self-test (corridors, lobbies)</t>
  </si>
  <si>
    <t>P-103 … P-108 (Floor plans) / P-201</t>
  </si>
  <si>
    <t>10.1.2</t>
  </si>
  <si>
    <t>Self-contained emergency bulkhead, 8 W, 3-hour, IP65 (staircase, plant rooms)</t>
  </si>
  <si>
    <t>📋  Chloride / Cooper / Tridonic / Hochiki</t>
  </si>
  <si>
    <t>10.1.3</t>
  </si>
  <si>
    <t>Maintained emergency exit sign LED, single-sided, with arrow pictogram (BS EN 1838)</t>
  </si>
  <si>
    <t>10.1.4</t>
  </si>
  <si>
    <t>Maintained emergency exit sign LED, double-sided, ceiling-mounted</t>
  </si>
  <si>
    <t>Sub-Total 10.1</t>
  </si>
  <si>
    <t>10.2 — EMERGENCY POWER FOR LIFE-SAFETY EQUIPMENT (FR feeders)</t>
  </si>
  <si>
    <t>10.2.1</t>
  </si>
  <si>
    <t>Power supply for fire pump panel — Fire-Rated cable from ESMDB-RF, including isolator &amp; terminations</t>
  </si>
  <si>
    <t>P-200 (Essential) / P-201 (FR feeders)</t>
  </si>
  <si>
    <t>10.2.2</t>
  </si>
  <si>
    <t>Power supply for stair pressurisation fans — FR feeder &amp; isolator</t>
  </si>
  <si>
    <t>10.2.3</t>
  </si>
  <si>
    <t>Power supply for smoke-extract fans (basement &amp; corridors) — FR feeder &amp; isolator</t>
  </si>
  <si>
    <t>10.2.4</t>
  </si>
  <si>
    <t>Power supply for sprinkler-system jockey pump &amp; main pump motor starter</t>
  </si>
  <si>
    <t>📋</t>
  </si>
  <si>
    <t>10.2.5</t>
  </si>
  <si>
    <t>Power supply for fire-fighter's lift (2-hour FR feeder)</t>
  </si>
  <si>
    <t>Sub-Total 10.2</t>
  </si>
  <si>
    <t>10.3 — CENTRAL BATTERY SYSTEM (CBS) — alternative to self-contained</t>
  </si>
  <si>
    <t>10.3.1</t>
  </si>
  <si>
    <t>CBS cabinet — 24/48 V DC, 3-hour autonomy, sized for total emergency luminaire load (~8 kW for this project), VRLA sealed batteries, charger, supervision, BMS interface, IP31, lockable. Provisional sum.</t>
  </si>
  <si>
    <t>P-201 (Emergency loop) / P-300 (CBS cabinet)</t>
  </si>
  <si>
    <t>📋  Chloride / Cooper / Olympia / Hochiki</t>
  </si>
  <si>
    <t>10.3.2</t>
  </si>
  <si>
    <t>Maintained-feed sub-circuits from CBS to corridor / public-area luminaires — Fire-Rated cable in dedicated FR containment, ID-labelled in red (allow per riser).</t>
  </si>
  <si>
    <t>10.3.3</t>
  </si>
  <si>
    <t>CBS testing &amp; 3-hour discharge witness test — under controlled outage, recording lumen output and battery voltage decay.</t>
  </si>
  <si>
    <t>Sub-Total 10.3</t>
  </si>
  <si>
    <t>10.4 — FIRE ALARM / MEP INTEGRATION (DCD requirement)</t>
  </si>
  <si>
    <t>10.4.1</t>
  </si>
  <si>
    <t>Shunt-trip relay for FAHU isolation on Fire Alarm activation — 24 V DC monitored coil, status feedback to FACP, MCCB shunt-trip module.</t>
  </si>
  <si>
    <t>Coordinate with FA contractor (FA-001 series)</t>
  </si>
  <si>
    <t>📋  Schneider / ABB / Siemens / Eaton</t>
  </si>
  <si>
    <t>10.4.2</t>
  </si>
  <si>
    <t>Shunt-trip relay for AHU isolation per air-handling zone — 24 V DC monitored, status feedback to FACP. (Allow per AHU zone — typical per floor)</t>
  </si>
  <si>
    <t>10.4.3</t>
  </si>
  <si>
    <t>Lift fire-recall interface module — homes lifts to designated fire-recall floor on Fire Alarm signal, monitored by FACP. (Per lift bank)</t>
  </si>
  <si>
    <t>📋  KONE / Otis / Schindler / Mitsubishi (lift OEM)</t>
  </si>
  <si>
    <t>10.4.4</t>
  </si>
  <si>
    <t xml:space="preserve">Smoke / fire damper actuator power supply — 24 V DC monitored, with status feedback (allow per damper, including fire dampers and smoke control). </t>
  </si>
  <si>
    <t>📋  Notifier / Honeywell / Edwards / Hochiki</t>
  </si>
  <si>
    <t>10.4.5</t>
  </si>
  <si>
    <t>Mag-lock door release on fire alarm — fail-safe release, 24 V DC, monitored relay for FACP signalling. (Per access-controlled fire-route door.)</t>
  </si>
  <si>
    <t>10.4.6</t>
  </si>
  <si>
    <t>FA-BMS interface relay rack — wall-mounted enclosure with 24 V DC PSU, monitored output relays for HVAC / lighting / lift signalling to FACP &amp; BMS.</t>
  </si>
  <si>
    <t>10.4.7</t>
  </si>
  <si>
    <t>FA system tie-in cabling — Fire-Rated 2-core control cable from FACP to interface relays / shunt-trips / damper actuators. (Allow per tie-in.)</t>
  </si>
  <si>
    <t>Sub-Total 10.4</t>
  </si>
  <si>
    <t>BILL 10 — TOTAL CARRIED TO SUMMARY</t>
  </si>
  <si>
    <t>BILL No. 11 — ELV CONTAINMENT (TEL/DATA, CCTV, ACS, MATV, FA)</t>
  </si>
  <si>
    <t>11.1 — ELV CONTAINMENT — PROVISIONAL (specialist trades)</t>
  </si>
  <si>
    <t>11.1.1</t>
  </si>
  <si>
    <t>Telephone / data containment — uPVC conduit Ø 25 mm + draw wires from MDF/IDF to apartment outlets</t>
  </si>
  <si>
    <t>P-010 / Specialist trade</t>
  </si>
  <si>
    <t>11.1.2</t>
  </si>
  <si>
    <t>CCTV containment — uPVC conduit Ø 25 mm + draw wires + back-boxes to camera locations</t>
  </si>
  <si>
    <t>11.1.3</t>
  </si>
  <si>
    <t>Access Control containment — conduit + wiring trough at every controlled door</t>
  </si>
  <si>
    <t>11.1.4</t>
  </si>
  <si>
    <t>MATV / SMATV containment — conduit + draw wires, MDF to apartment TV points</t>
  </si>
  <si>
    <t>11.1.5</t>
  </si>
  <si>
    <t>Fire Alarm containment — fire-rated conduit Ø 25/32 mm at all loops, isolator points (specialist supply by FA contractor)</t>
  </si>
  <si>
    <t>11.1.6</t>
  </si>
  <si>
    <t>BMS field cabling containment — conduit + tray at every field-device location (specialist supply by BMS contractor)</t>
  </si>
  <si>
    <t>11.1.7</t>
  </si>
  <si>
    <t>Audio-Video / Door-entry containment — conduit + back-boxes</t>
  </si>
  <si>
    <t>11.1.8</t>
  </si>
  <si>
    <t>ELV main risers — 100×100 mm GI trunking with separators between systems</t>
  </si>
  <si>
    <t>Sub-Total 11.1</t>
  </si>
  <si>
    <t>BILL 11 — TOTAL CARRIED TO SUMMARY</t>
  </si>
  <si>
    <t>BILL No. 12 — METERING &amp; MONITORING</t>
  </si>
  <si>
    <t>12.1 — DEWA SMART METERING — Tenant &amp; Landlord (AMI-ready, DEWA Smart Grid Programme)</t>
  </si>
  <si>
    <t>12.1.1</t>
  </si>
  <si>
    <t>DEWA-approved smart kWh meter, single-phase, AMI-ready (PLC + RF mesh communication), bi-directional metering capability, Class 1 accuracy, sealed, IEC 62052-11 / IEC 62053-21 compliant — for apartment tenants. Includes anti-tamper detection, configurable load-profile recording, remote-read capability.</t>
  </si>
  <si>
    <t>P-300 (LV room) / DEWA Smart Grid spec</t>
  </si>
  <si>
    <t>📋  Itron / Landis+Gyr / Iskra (DEWA-listed)</t>
  </si>
  <si>
    <t>12.1.2</t>
  </si>
  <si>
    <t>DEWA-approved smart kWh meter, three-phase, CT-operated, AMI-ready, bi-directional with consumption + export channel for Shams Dubai net metering (where PV applicable), Class 0.5S accuracy, sealed, IEC 62053-22 — for retail / common services / landlord.</t>
  </si>
  <si>
    <t>12.1.3</t>
  </si>
  <si>
    <t>DEWA-approved smart meter cabinet — DEWA Service Connection Specifications compliant, modular, lockable, ventilated, IP31, with sealed access door for DEWA-only opening, RJ-45 / RS-485 communication ports.</t>
  </si>
  <si>
    <t>12.1.4</t>
  </si>
  <si>
    <t>Current transformers (CTs) for smart-meter feeders — Class 0.5S, 250/5 / 400/5 / 630/5 / 2000/5 ratios per panel schedule, sealed, with DEWA-approved label.</t>
  </si>
  <si>
    <t>📋  Schneider PowerLogic / Janitza / Carlo Gavazzi</t>
  </si>
  <si>
    <t>12.1.5</t>
  </si>
  <si>
    <t>AMI head-end / data-concentrator (PLC + RF mesh gateway) — coordination with DEWA where centralised concentrator is supplied by DEWA; provisional allowance for concentrator location, power supply, and back-haul cabling.</t>
  </si>
  <si>
    <t>Sub-Total 12.1</t>
  </si>
  <si>
    <t>12.2 — PANEL METERING, BMS INTEGRATION &amp; MDM COORDINATION</t>
  </si>
  <si>
    <t>12.2.1</t>
  </si>
  <si>
    <t>Multi-function digital meter (MFM) on LV panel main incomer &amp; outgoing feeders — V/I/P/Q/PF/THD measurement, MODBUS RTU/TCP communication, Class 0.5 accuracy.</t>
  </si>
  <si>
    <t>12.2.2</t>
  </si>
  <si>
    <t>Energy-monitoring software / SCADA package for panel-level metering — head-end software, dashboards, historical data logging — provisional sum.</t>
  </si>
  <si>
    <t>12.2.3</t>
  </si>
  <si>
    <t>DEWA MDM (Meter Data Management) integration — testing of meter-to-MDM connectivity, data validation, and acceptance per DEWA AMI specifications. Provisional sum.</t>
  </si>
  <si>
    <t>12.2.4</t>
  </si>
  <si>
    <t>Wiring, terminations, CT secondaries, communication cabling (RS-485 / Cat6) for panel-level + smart-meter system.</t>
  </si>
  <si>
    <t>12.2.5</t>
  </si>
  <si>
    <t>DEWA-witnessed meter sealing &amp; acceptance — including AMI commissioning and remote-read verification.</t>
  </si>
  <si>
    <t>Sub-Total 12.2</t>
  </si>
  <si>
    <t>BILL 12 — TOTAL CARRIED TO SUMMARY</t>
  </si>
  <si>
    <t>BILL No. 13 — TESTING, COMMISSIONING &amp; DEWA APPROVAL</t>
  </si>
  <si>
    <t>13.1 — ROUTINE ELECTRICAL TESTS (Pre-energisation)</t>
  </si>
  <si>
    <t>13.1.1</t>
  </si>
  <si>
    <t>Insulation resistance testing of all LV cables — 500 V/1000 V Megger, full report.</t>
  </si>
  <si>
    <t>DEWA / DM / DCD / IEC 60364-6</t>
  </si>
  <si>
    <t>13.1.2</t>
  </si>
  <si>
    <t>Continuity &amp; polarity testing of all final circuits.</t>
  </si>
  <si>
    <t>13.1.3</t>
  </si>
  <si>
    <t>Earth fault loop impedance testing at every distribution board.</t>
  </si>
  <si>
    <t>13.1.4</t>
  </si>
  <si>
    <t>Phase rotation &amp; balance testing at all 3-phase feeders.</t>
  </si>
  <si>
    <t>13.1.5</t>
  </si>
  <si>
    <t>RCD testing at all RCD/RCBO-protected circuits.</t>
  </si>
  <si>
    <t>Sub-Total 13.1</t>
  </si>
  <si>
    <t>13.2 — SYSTEM COMMISSIONING (Energisation &amp; Performance)</t>
  </si>
  <si>
    <t>13.2.1</t>
  </si>
  <si>
    <t>ATS changeover testing — simulate mains failure, verify auto-switchover, full load test.</t>
  </si>
  <si>
    <t>📋  ABB / Socomec / Cummins / GE</t>
  </si>
  <si>
    <t>13.2.2</t>
  </si>
  <si>
    <t>Standby generator full-load test — including load bank (if required), 4-hour run, fuel consumption recording.</t>
  </si>
  <si>
    <t>📋  Cummins / Caterpillar / FG Wilson / Perkins</t>
  </si>
  <si>
    <t>13.2.3</t>
  </si>
  <si>
    <t>Power-factor correction verification — record PF before/after capacitor bank energisation, harmonic analysis.</t>
  </si>
  <si>
    <t>13.2.4</t>
  </si>
  <si>
    <t>Earthing system resistance test (Megger DET) at every electrode and MEB.</t>
  </si>
  <si>
    <t>13.2.5</t>
  </si>
  <si>
    <t>Lightning protection continuity test, including down-conductor resistance.</t>
  </si>
  <si>
    <t>13.2.6</t>
  </si>
  <si>
    <t>Emergency lighting 3-hour duration test under controlled outage.</t>
  </si>
  <si>
    <t>Sub-Total 13.2</t>
  </si>
  <si>
    <t>13.3 — AUTHORITY APPROVALS &amp; AS-BUILT DOCUMENTATION</t>
  </si>
  <si>
    <t>13.3.1</t>
  </si>
  <si>
    <t>DEWA Inspection Coordination — coordinating multiple DEWA inspection visits during construction (cable rough-in, panel termination, earthing, metering pre-energisation, energising, post-energisation), submission of inspection requests, attendance, and rectifications until each stage is signed off.</t>
  </si>
  <si>
    <t>13.3.2</t>
  </si>
  <si>
    <t>DEWA Final Approval &amp; Energisation — application fees, witnessed routine test, meter sealing, energising-permit issue. Provisional sum.</t>
  </si>
  <si>
    <t>13.3.3</t>
  </si>
  <si>
    <t>Dubai Municipality (DM) electrical inspection clearance — coordination with DM inspectors, attendance, and rectifications until clearance is obtained for occupancy / completion certificate.</t>
  </si>
  <si>
    <t>13.3.4</t>
  </si>
  <si>
    <t>DCD (Dubai Civil Defence) electrical clearance for life-safety installations — emergency lighting witnessed test, fire-pump power-supply inspection, smoke-control fan circuit verification.</t>
  </si>
  <si>
    <t>13.3.5</t>
  </si>
  <si>
    <t>As-Built Drawings — Consultant Approval. As-Built drawings (AutoCAD .dwg + PDF, 4 hard-copy bound sets), submitted to consultant for review, revisions until approved and signed.</t>
  </si>
  <si>
    <t>13.3.6</t>
  </si>
  <si>
    <t>As-Built Drawings — DEWA Approval. As-Built submission to DEWA in DEWA-required format (specific layer / title-block / electronic file structure), revisions until approved and filed by DEWA.</t>
  </si>
  <si>
    <t>13.3.7</t>
  </si>
  <si>
    <t>Energising application &amp; meter installation coordination with DEWA — preparing application package, submitting to DEWA, attendance at DEWA appointments.</t>
  </si>
  <si>
    <t>13.3.8</t>
  </si>
  <si>
    <t>Final commissioning report — bound, signed, indexed (5 hard copies + electronic PDF), including all routine-test results, manufacturer test certificates, witness signatures.</t>
  </si>
  <si>
    <t>13.3.9</t>
  </si>
  <si>
    <t>Operator training — 2 sessions of 4 hours each, including written training material in English (and Arabic where requested), covering operation, routine maintenance, and emergency response.</t>
  </si>
  <si>
    <t>13.3.10</t>
  </si>
  <si>
    <t>Witnessed handover walk-through with consultant &amp; employer team — verifying every installation against As-Built, snag list, sign-off.</t>
  </si>
  <si>
    <t>Sub-Total 13.3</t>
  </si>
  <si>
    <t>BILL 13 — TOTAL CARRIED TO SUMMARY</t>
  </si>
  <si>
    <t>BILL OF QUANTITIES — SUMMARY OF BILLS</t>
  </si>
  <si>
    <t>Proposed B+G+8+R Commercial &amp; Residential Building | Plot 6731315, Al Barsha South Third, Dubai, UAE | Job FA_P379 / CRs B/010/25</t>
  </si>
  <si>
    <t>Sheet Ref</t>
  </si>
  <si>
    <t>Bill Total (AED)</t>
  </si>
  <si>
    <t>Mob, insurance, submittals, As-Built</t>
  </si>
  <si>
    <t>HV / LV Main Distribution</t>
  </si>
  <si>
    <t>Transformer, MDB, generator, ATS, capacitors</t>
  </si>
  <si>
    <t>Sub-Main Distribution Boards</t>
  </si>
  <si>
    <t>Typical floor, GF, RF, EV, retail, emergency</t>
  </si>
  <si>
    <t>Distribution Boards &amp; Consumer Units</t>
  </si>
  <si>
    <t>Apt, common, retail, emergency, mech</t>
  </si>
  <si>
    <t>LV Power Cables</t>
  </si>
  <si>
    <t>Main + distribution + final + ECC + FR</t>
  </si>
  <si>
    <t>Cable Containment</t>
  </si>
  <si>
    <t>Tray, ladder, conduit, trunking</t>
  </si>
  <si>
    <t>Sockets, switches, isolators, EV outlets</t>
  </si>
  <si>
    <t>Lighting Fixtures</t>
  </si>
  <si>
    <t>Internal, external, controls</t>
  </si>
  <si>
    <t>TN-S, electrodes, LP system</t>
  </si>
  <si>
    <t>Self-contained, exit signs, FR feeders</t>
  </si>
  <si>
    <t>ELV Containment</t>
  </si>
  <si>
    <t>Tel/Data/CCTV/ACS/MATV/FA conduit</t>
  </si>
  <si>
    <t>Tenant + panel meters, BMS integration</t>
  </si>
  <si>
    <t>Routine tests + system commissioning + DEWA</t>
  </si>
  <si>
    <t>SUB-TOTAL OF BILLS (Bills 1–13)</t>
  </si>
  <si>
    <t>Provisional Sums adjustment (if any)</t>
  </si>
  <si>
    <t>Editable — net adjustment</t>
  </si>
  <si>
    <t>Day Works Schedule (per separate schedule)</t>
  </si>
  <si>
    <t>Editable</t>
  </si>
  <si>
    <t>Contingency (10%) — on Bills 1–13</t>
  </si>
  <si>
    <t>Discount (if offered, enter as negative)</t>
  </si>
  <si>
    <t>TOTAL TENDER PRICE — Excluding VAT</t>
  </si>
  <si>
    <t>VAT (5%) — UAE Federal Tax Authority</t>
  </si>
  <si>
    <t>GRAND TOTAL TENDER PRICE — Including VAT</t>
  </si>
  <si>
    <t>FORM OF TENDER</t>
  </si>
  <si>
    <t>We, the undersigned, having examined the tender drawings, specifications, and bill of quantities, do hereby offer to execute the works for the sum stated above (Grand Total Tender Price including VAT).</t>
  </si>
  <si>
    <t>Validity period: 90 days from tender submission date.</t>
  </si>
  <si>
    <t>Construction period: as specified in the contract documents.</t>
  </si>
  <si>
    <t>Defects Liability Period: 12 months from substantial completion / handover.</t>
  </si>
  <si>
    <t>Authorised signatory: SABI Engineering &amp; Contracting LLC</t>
  </si>
  <si>
    <t>TRN: 100XXXXXXXXXXXXX</t>
  </si>
  <si>
    <t>Signature &amp; Stamp: ____________________________   Date: ____________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</si>
</sst>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4" x14ac:knownFonts="1">
    <font>
      <color theme="1"/>
      <family val="2"/>
      <scheme val="minor"/>
      <sz val="11"/>
      <name val="Calibri"/>
    </font>
    <font>
      <b/>
      <color rgb="FFFFFFFF"/>
      <sz val="12"/>
      <name val="Arial"/>
    </font>
    <font>
      <b/>
      <color rgb="FFFFFFFF"/>
      <sz val="10"/>
      <name val="Arial"/>
    </font>
    <font>
      <b/>
      <sz val="10"/>
      <name val="Arial"/>
    </font>
    <font>
      <sz val="10"/>
      <name val="Arial"/>
    </font>
    <font>
      <color rgb="FF1B5E20"/>
      <sz val="9"/>
      <name val="Arial"/>
    </font>
    <font>
      <b/>
      <color rgb="FF1B5E20"/>
      <sz val="9"/>
      <name val="Arial"/>
    </font>
    <font>
      <b/>
      <color rgb="FF7F4F00"/>
      <sz val="9"/>
      <name val="Arial"/>
    </font>
    <font>
      <color rgb="FF7F4F00"/>
      <sz val="9"/>
      <name val="Arial"/>
    </font>
    <font>
      <b/>
      <sz val="9"/>
      <name val="Arial"/>
    </font>
    <font>
      <sz val="9"/>
      <name val="Arial"/>
    </font>
    <font>
      <i/>
      <sz val="9"/>
      <name val="Arial"/>
    </font>
    <font>
      <b/>
      <color rgb="FFFFFFFF"/>
      <sz val="11"/>
      <name val="Arial"/>
    </font>
    <font>
      <i/>
      <color rgb="FF555555"/>
      <sz val="9"/>
      <name val="Arial"/>
    </font>
  </fonts>
  <fills count="9">
    <fill>
      <patternFill patternType="none"/>
    </fill>
    <fill>
      <patternFill patternType="gray125"/>
    </fill>
    <fill>
      <patternFill patternType="solid">
        <fgColor rgb="FF1F3864"/>
      </patternFill>
    </fill>
    <fill>
      <patternFill patternType="solid">
        <fgColor rgb="FF2E75B6"/>
      </patternFill>
    </fill>
    <fill>
      <patternFill patternType="solid">
        <fgColor rgb="FFE8F5E9"/>
      </patternFill>
    </fill>
    <fill>
      <patternFill patternType="solid">
        <fgColor rgb="FFFFF8E1"/>
      </patternFill>
    </fill>
    <fill>
      <patternFill patternType="solid">
        <fgColor rgb="FFC00000"/>
      </patternFill>
    </fill>
    <fill>
      <patternFill patternType="solid">
        <fgColor rgb="FFFFF3CD"/>
      </patternFill>
    </fill>
    <fill>
      <patternFill patternType="solid">
        <fgColor rgb="FFF8F9FA"/>
      </patternFill>
    </fill>
  </fills>
  <borders count="2">
    <border>
      <left/>
      <right/>
      <top/>
      <bottom/>
      <diagonal/>
    </border>
    <border>
      <left style="thin">
        <color rgb="FFB7B7B7"/>
      </left>
      <right style="thin">
        <color rgb="FFB7B7B7"/>
      </right>
      <top style="thin">
        <color rgb="FFB7B7B7"/>
      </top>
      <bottom style="thin">
        <color rgb="FFB7B7B7"/>
      </bottom>
      <diagonal/>
    </border>
  </borders>
  <cellStyleXfs count="1">
    <xf numFmtId="0" fontId="0" fillId="0" borderId="0"/>
  </cellStyleXfs>
  <cellXfs count="32">
    <xf numFmtId="0" fontId="0" fillId="0" borderId="0" xfId="0"/>
    <xf numFmtId="0" fontId="1" fillId="2" borderId="0" xfId="0" applyFont="1" applyFill="1" applyAlignment="1">
      <alignment horizontal="center" vertical="center"/>
    </xf>
    <xf numFmtId="0" fontId="2" fillId="2" borderId="0" xfId="0" applyFont="1" applyFill="1" applyAlignment="1">
      <alignment horizontal="center" vertical="center"/>
    </xf>
    <xf numFmtId="0" fontId="3" fillId="0" borderId="1" xfId="0" applyFont="1" applyBorder="1" applyAlignment="1">
      <alignment horizontal="left" vertical="center" wrapText="1"/>
    </xf>
    <xf numFmtId="0" fontId="4" fillId="0" borderId="1" xfId="0" applyFont="1" applyBorder="1" applyAlignment="1">
      <alignment horizontal="right" vertical="center"/>
    </xf>
    <xf numFmtId="0" fontId="2" fillId="2" borderId="0" xfId="0" applyFont="1" applyFill="1" applyAlignment="1">
      <alignment horizontal="left" vertical="center"/>
    </xf>
    <xf numFmtId="0" fontId="2" fillId="3" borderId="1" xfId="0" applyFont="1" applyFill="1" applyBorder="1" applyAlignment="1">
      <alignment horizontal="center" vertical="center" wrapText="1"/>
    </xf>
    <xf numFmtId="0" fontId="4" fillId="0" borderId="1" xfId="0" applyFont="1" applyBorder="1" applyAlignment="1">
      <alignment horizontal="center" vertical="center"/>
    </xf>
    <xf numFmtId="0" fontId="5" fillId="4" borderId="1" xfId="0" applyFont="1" applyFill="1" applyBorder="1" applyAlignment="1">
      <alignment horizontal="left" vertical="center" wrapText="1"/>
    </xf>
    <xf numFmtId="0" fontId="6" fillId="4" borderId="1" xfId="0" applyFont="1" applyFill="1" applyBorder="1" applyAlignment="1">
      <alignment horizontal="center" vertical="center"/>
    </xf>
    <xf numFmtId="0" fontId="7" fillId="5" borderId="1" xfId="0" applyFont="1" applyFill="1" applyBorder="1" applyAlignment="1">
      <alignment horizontal="center" vertical="center"/>
    </xf>
    <xf numFmtId="0" fontId="8" fillId="5" borderId="1" xfId="0" applyFont="1" applyFill="1" applyBorder="1" applyAlignment="1">
      <alignment horizontal="left" vertical="center" wrapText="1"/>
    </xf>
    <xf numFmtId="0" fontId="9" fillId="0" borderId="1" xfId="0" applyFont="1" applyBorder="1" applyAlignment="1">
      <alignment horizontal="left" vertical="center"/>
    </xf>
    <xf numFmtId="0" fontId="10" fillId="0" borderId="1" xfId="0" applyFont="1" applyBorder="1" applyAlignment="1">
      <alignment horizontal="left" vertical="center" wrapText="1"/>
    </xf>
    <xf numFmtId="0" fontId="1" fillId="6" borderId="1" xfId="0" applyFont="1" applyFill="1" applyBorder="1" applyAlignment="1">
      <alignment horizontal="center" vertical="center"/>
    </xf>
    <xf numFmtId="0" fontId="4" fillId="0" borderId="1" xfId="0" applyFont="1" applyBorder="1" applyAlignment="1">
      <alignment vertical="top" wrapText="1"/>
    </xf>
    <xf numFmtId="0" fontId="4" fillId="0" borderId="1" xfId="0" applyFont="1" applyBorder="1" applyAlignment="1">
      <alignment horizontal="center" vertical="top"/>
    </xf>
    <xf numFmtId="0" fontId="11" fillId="0" borderId="1" xfId="0" applyFont="1" applyBorder="1" applyAlignment="1">
      <alignment horizontal="left" vertical="center"/>
    </xf>
    <xf numFmtId="0" fontId="3" fillId="0" borderId="1" xfId="0" applyFont="1" applyBorder="1" applyAlignment="1">
      <alignment horizontal="left" vertical="center"/>
    </xf>
    <xf numFmtId="4" fontId="4" fillId="7" borderId="1" xfId="0" applyNumberFormat="1" applyFont="1" applyFill="1" applyBorder="1" applyAlignment="1">
      <alignment horizontal="right" vertical="center"/>
    </xf>
    <xf numFmtId="0" fontId="3" fillId="8" borderId="1" xfId="0" applyFont="1" applyFill="1" applyBorder="1" applyAlignment="1">
      <alignment horizontal="left" vertical="center"/>
    </xf>
    <xf numFmtId="0" fontId="4" fillId="8" borderId="1" xfId="0" applyFont="1" applyFill="1" applyBorder="1" applyAlignment="1">
      <alignment horizontal="right" vertical="center"/>
    </xf>
    <xf numFmtId="0" fontId="4" fillId="8" borderId="1" xfId="0" applyFont="1" applyFill="1" applyBorder="1" applyAlignment="1">
      <alignment horizontal="center" vertical="center"/>
    </xf>
    <xf numFmtId="0" fontId="2" fillId="3" borderId="1" xfId="0" applyFont="1" applyFill="1" applyBorder="1" applyAlignment="1">
      <alignment horizontal="right" vertical="center"/>
    </xf>
    <xf numFmtId="4" fontId="2" fillId="3" borderId="1" xfId="0" applyNumberFormat="1" applyFont="1" applyFill="1" applyBorder="1" applyAlignment="1">
      <alignment horizontal="center" vertical="center"/>
    </xf>
    <xf numFmtId="0" fontId="12" fillId="2" borderId="1" xfId="0" applyFont="1" applyFill="1" applyBorder="1" applyAlignment="1">
      <alignment horizontal="right" vertical="center"/>
    </xf>
    <xf numFmtId="4" fontId="12" fillId="2" borderId="1" xfId="0" applyNumberFormat="1" applyFont="1" applyFill="1" applyBorder="1" applyAlignment="1">
      <alignment horizontal="center" vertical="center"/>
    </xf>
    <xf numFmtId="0" fontId="13" fillId="0" borderId="1" xfId="0" applyFont="1" applyBorder="1" applyAlignment="1">
      <alignment horizontal="left" vertical="center" wrapText="1"/>
    </xf>
    <xf numFmtId="0" fontId="11" fillId="0" borderId="1" xfId="0" applyFont="1" applyBorder="1" applyAlignment="1">
      <alignment horizontal="center" vertical="center"/>
    </xf>
    <xf numFmtId="4" fontId="2" fillId="3" borderId="1" xfId="0" applyNumberFormat="1" applyFont="1" applyFill="1" applyBorder="1" applyAlignment="1">
      <alignment horizontal="right"/>
    </xf>
    <xf numFmtId="4" fontId="12" fillId="2" borderId="1" xfId="0" applyNumberFormat="1" applyFont="1" applyFill="1" applyBorder="1" applyAlignment="1">
      <alignment horizontal="right"/>
    </xf>
    <xf numFmtId="0" fontId="10" fillId="0" borderId="1" xfId="0" applyFont="1" applyBorder="1" applyAlignment="1">
      <alignment horizontal="righ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86"/>
  <sheetFormatPr defaultRowHeight="15" outlineLevelRow="0" outlineLevelCol="0" x14ac:dyDescent="55"/>
  <cols>
    <col min="1" max="1" width="3" customWidth="1"/>
    <col min="2" max="2" width="16" customWidth="1"/>
    <col min="3" max="3" width="50" customWidth="1"/>
    <col min="4" max="7" width="5" customWidth="1"/>
    <col min="8" max="8" width="22" customWidth="1"/>
    <col min="9" max="9" width="3" customWidth="1"/>
  </cols>
  <sheetData>
    <row r="1" spans="1:1" x14ac:dyDescent="0.25"/>
    <row r="2" ht="30" customHeight="1" spans="1:8" x14ac:dyDescent="0.25">
      <c r="B2" s="1" t="s">
        <v>0</v>
      </c>
      <c r="C2"/>
      <c r="D2"/>
      <c r="E2"/>
      <c r="F2"/>
      <c r="G2"/>
      <c r="H2"/>
    </row>
    <row r="3" ht="30" customHeight="1" spans="1:9" x14ac:dyDescent="0.25">
      <c r="B3"/>
      <c r="C3"/>
      <c r="D3"/>
      <c r="E3"/>
      <c r="F3"/>
      <c r="G3"/>
      <c r="H3"/>
    </row>
    <row r="4" ht="24" customHeight="1" spans="1:8" x14ac:dyDescent="0.25">
      <c r="B4" s="2" t="s">
        <v>1</v>
      </c>
      <c r="C4"/>
      <c r="D4"/>
      <c r="E4"/>
      <c r="F4"/>
      <c r="G4"/>
      <c r="H4"/>
    </row>
    <row r="5" ht="24" customHeight="1" spans="1:8" x14ac:dyDescent="0.25">
      <c r="B5"/>
      <c r="C5"/>
      <c r="D5"/>
      <c r="E5"/>
      <c r="F5"/>
      <c r="G5"/>
      <c r="H5"/>
    </row>
    <row r="6" spans="1:1" x14ac:dyDescent="0.25"/>
    <row r="7" spans="1:8" x14ac:dyDescent="0.25">
      <c r="B7" s="3" t="s">
        <v>2</v>
      </c>
      <c r="C7" s="4" t="s">
        <v>3</v>
      </c>
      <c r="D7"/>
      <c r="E7"/>
      <c r="F7"/>
      <c r="G7"/>
      <c r="H7"/>
    </row>
    <row r="8" spans="1:8" x14ac:dyDescent="0.25">
      <c r="B8" s="3" t="s">
        <v>4</v>
      </c>
      <c r="C8" s="4" t="s">
        <v>5</v>
      </c>
      <c r="D8"/>
      <c r="E8"/>
      <c r="F8"/>
      <c r="G8"/>
      <c r="H8"/>
    </row>
    <row r="9" spans="1:8" x14ac:dyDescent="0.25">
      <c r="B9" s="3" t="s">
        <v>6</v>
      </c>
      <c r="C9" s="4" t="s">
        <v>7</v>
      </c>
      <c r="D9"/>
      <c r="E9"/>
      <c r="F9"/>
      <c r="G9"/>
      <c r="H9"/>
    </row>
    <row r="10" spans="1:8" x14ac:dyDescent="0.25">
      <c r="B10" s="3" t="s">
        <v>8</v>
      </c>
      <c r="C10" s="4" t="s">
        <v>9</v>
      </c>
      <c r="D10"/>
      <c r="E10"/>
      <c r="F10"/>
      <c r="G10"/>
      <c r="H10"/>
    </row>
    <row r="11" spans="1:8" x14ac:dyDescent="0.25">
      <c r="B11" s="3" t="s">
        <v>10</v>
      </c>
      <c r="C11" s="4" t="s">
        <v>11</v>
      </c>
      <c r="D11"/>
      <c r="E11"/>
      <c r="F11"/>
      <c r="G11"/>
      <c r="H11"/>
    </row>
    <row r="12" spans="1:1" x14ac:dyDescent="0.25"/>
    <row r="13" spans="1:8" x14ac:dyDescent="0.25">
      <c r="B13" s="5" t="s">
        <v>12</v>
      </c>
      <c r="C13"/>
      <c r="D13"/>
      <c r="E13"/>
      <c r="F13"/>
      <c r="G13"/>
      <c r="H13"/>
    </row>
    <row r="14" spans="1:8" x14ac:dyDescent="0.25">
      <c r="B14" s="3" t="s">
        <v>13</v>
      </c>
      <c r="C14" s="4" t="s">
        <v>14</v>
      </c>
      <c r="D14"/>
      <c r="E14"/>
      <c r="F14"/>
      <c r="G14"/>
      <c r="H14"/>
    </row>
    <row r="15" spans="1:8" x14ac:dyDescent="0.25">
      <c r="B15" s="3" t="s">
        <v>15</v>
      </c>
      <c r="C15" s="4" t="s">
        <v>16</v>
      </c>
      <c r="D15"/>
      <c r="E15"/>
      <c r="F15"/>
      <c r="G15"/>
      <c r="H15"/>
    </row>
    <row r="16" spans="1:8" x14ac:dyDescent="0.25">
      <c r="B16" s="3" t="s">
        <v>17</v>
      </c>
      <c r="C16" s="4" t="s">
        <v>18</v>
      </c>
      <c r="D16"/>
      <c r="E16"/>
      <c r="F16"/>
      <c r="G16"/>
      <c r="H16"/>
    </row>
    <row r="17" spans="1:8" x14ac:dyDescent="0.25">
      <c r="B17" s="3" t="s">
        <v>19</v>
      </c>
      <c r="C17" s="4" t="s">
        <v>18</v>
      </c>
      <c r="D17"/>
      <c r="E17"/>
      <c r="F17"/>
      <c r="G17"/>
      <c r="H17"/>
    </row>
    <row r="18" spans="1:8" x14ac:dyDescent="0.25">
      <c r="B18" s="3" t="s">
        <v>20</v>
      </c>
      <c r="C18" s="4" t="s">
        <v>21</v>
      </c>
      <c r="D18"/>
      <c r="E18"/>
      <c r="F18"/>
      <c r="G18"/>
      <c r="H18"/>
    </row>
    <row r="19" spans="1:8" x14ac:dyDescent="0.25">
      <c r="B19" s="3" t="s">
        <v>22</v>
      </c>
      <c r="C19" s="4" t="s">
        <v>23</v>
      </c>
      <c r="D19"/>
      <c r="E19"/>
      <c r="F19"/>
      <c r="G19"/>
      <c r="H19"/>
    </row>
    <row r="20" spans="1:8" x14ac:dyDescent="0.25">
      <c r="B20" s="3" t="s">
        <v>24</v>
      </c>
      <c r="C20" s="4" t="s">
        <v>25</v>
      </c>
      <c r="D20"/>
      <c r="E20"/>
      <c r="F20"/>
      <c r="G20"/>
      <c r="H20"/>
    </row>
    <row r="21" spans="1:8" x14ac:dyDescent="0.25">
      <c r="B21" s="3" t="s">
        <v>26</v>
      </c>
      <c r="C21" s="4" t="s">
        <v>27</v>
      </c>
      <c r="D21"/>
      <c r="E21"/>
      <c r="F21"/>
      <c r="G21"/>
      <c r="H21"/>
    </row>
    <row r="22" spans="1:1" x14ac:dyDescent="0.25"/>
    <row r="23" spans="1:8" x14ac:dyDescent="0.25">
      <c r="B23" s="5" t="s">
        <v>28</v>
      </c>
      <c r="C23"/>
      <c r="D23"/>
      <c r="E23"/>
      <c r="F23"/>
      <c r="G23"/>
      <c r="H23"/>
    </row>
    <row r="24" spans="1:8" x14ac:dyDescent="0.25">
      <c r="B24" s="3" t="s">
        <v>29</v>
      </c>
      <c r="C24" s="4" t="s">
        <v>30</v>
      </c>
      <c r="D24"/>
      <c r="E24"/>
      <c r="F24"/>
      <c r="G24"/>
      <c r="H24"/>
    </row>
    <row r="25" spans="1:8" x14ac:dyDescent="0.25">
      <c r="B25" s="3" t="s">
        <v>31</v>
      </c>
      <c r="C25" s="4" t="s">
        <v>32</v>
      </c>
      <c r="D25"/>
      <c r="E25"/>
      <c r="F25"/>
      <c r="G25"/>
      <c r="H25"/>
    </row>
    <row r="26" spans="1:8" x14ac:dyDescent="0.25">
      <c r="B26" s="3" t="s">
        <v>33</v>
      </c>
      <c r="C26" s="4" t="s">
        <v>34</v>
      </c>
      <c r="D26"/>
      <c r="E26"/>
      <c r="F26"/>
      <c r="G26"/>
      <c r="H26"/>
    </row>
    <row r="27" spans="1:8" x14ac:dyDescent="0.25">
      <c r="B27" s="3" t="s">
        <v>35</v>
      </c>
      <c r="C27" s="4" t="s">
        <v>36</v>
      </c>
      <c r="D27"/>
      <c r="E27"/>
      <c r="F27"/>
      <c r="G27"/>
      <c r="H27"/>
    </row>
    <row r="28" spans="1:8" x14ac:dyDescent="0.25">
      <c r="B28" s="3" t="s">
        <v>37</v>
      </c>
      <c r="C28" s="4" t="s">
        <v>38</v>
      </c>
      <c r="D28"/>
      <c r="E28"/>
      <c r="F28"/>
      <c r="G28"/>
      <c r="H28"/>
    </row>
    <row r="29" spans="1:1" x14ac:dyDescent="0.25"/>
    <row r="30" spans="1:8" x14ac:dyDescent="0.25">
      <c r="B30" s="5" t="s">
        <v>39</v>
      </c>
      <c r="C30"/>
      <c r="D30"/>
      <c r="E30"/>
      <c r="F30"/>
      <c r="G30"/>
      <c r="H30"/>
    </row>
    <row r="31" spans="1:8" x14ac:dyDescent="0.25">
      <c r="B31" s="6" t="s">
        <v>40</v>
      </c>
      <c r="C31" s="6" t="s">
        <v>41</v>
      </c>
      <c r="D31"/>
      <c r="E31"/>
      <c r="F31"/>
      <c r="G31"/>
      <c r="H31" s="6" t="s">
        <v>42</v>
      </c>
    </row>
    <row r="32" spans="1:8" x14ac:dyDescent="0.25">
      <c r="B32" s="7">
        <v>1</v>
      </c>
      <c r="C32" s="4" t="s">
        <v>43</v>
      </c>
      <c r="D32"/>
      <c r="E32"/>
      <c r="F32"/>
      <c r="G32"/>
      <c r="H32" s="7" t="s">
        <v>44</v>
      </c>
    </row>
    <row r="33" spans="1:8" x14ac:dyDescent="0.25">
      <c r="B33" s="7">
        <v>2</v>
      </c>
      <c r="C33" s="4" t="s">
        <v>45</v>
      </c>
      <c r="D33"/>
      <c r="E33"/>
      <c r="F33"/>
      <c r="G33"/>
      <c r="H33" s="7" t="s">
        <v>46</v>
      </c>
    </row>
    <row r="34" spans="1:8" x14ac:dyDescent="0.25">
      <c r="B34" s="7">
        <v>3</v>
      </c>
      <c r="C34" s="4" t="s">
        <v>47</v>
      </c>
      <c r="D34"/>
      <c r="E34"/>
      <c r="F34"/>
      <c r="G34"/>
      <c r="H34" s="7" t="s">
        <v>48</v>
      </c>
    </row>
    <row r="35" spans="1:8" x14ac:dyDescent="0.25">
      <c r="B35" s="7">
        <v>4</v>
      </c>
      <c r="C35" s="4" t="s">
        <v>49</v>
      </c>
      <c r="D35"/>
      <c r="E35"/>
      <c r="F35"/>
      <c r="G35"/>
      <c r="H35" s="7" t="s">
        <v>50</v>
      </c>
    </row>
    <row r="36" spans="1:8" x14ac:dyDescent="0.25">
      <c r="B36" s="7">
        <v>5</v>
      </c>
      <c r="C36" s="4" t="s">
        <v>51</v>
      </c>
      <c r="D36"/>
      <c r="E36"/>
      <c r="F36"/>
      <c r="G36"/>
      <c r="H36" s="7" t="s">
        <v>52</v>
      </c>
    </row>
    <row r="37" spans="1:8" x14ac:dyDescent="0.25">
      <c r="B37" s="7">
        <v>6</v>
      </c>
      <c r="C37" s="4" t="s">
        <v>53</v>
      </c>
      <c r="D37"/>
      <c r="E37"/>
      <c r="F37"/>
      <c r="G37"/>
      <c r="H37" s="7" t="s">
        <v>54</v>
      </c>
    </row>
    <row r="38" spans="1:8" x14ac:dyDescent="0.25">
      <c r="B38" s="7">
        <v>7</v>
      </c>
      <c r="C38" s="4" t="s">
        <v>55</v>
      </c>
      <c r="D38"/>
      <c r="E38"/>
      <c r="F38"/>
      <c r="G38"/>
      <c r="H38" s="7" t="s">
        <v>56</v>
      </c>
    </row>
    <row r="39" spans="1:8" x14ac:dyDescent="0.25">
      <c r="B39" s="7">
        <v>8</v>
      </c>
      <c r="C39" s="4" t="s">
        <v>57</v>
      </c>
      <c r="D39"/>
      <c r="E39"/>
      <c r="F39"/>
      <c r="G39"/>
      <c r="H39" s="7" t="s">
        <v>58</v>
      </c>
    </row>
    <row r="40" spans="1:8" x14ac:dyDescent="0.25">
      <c r="B40" s="7">
        <v>9</v>
      </c>
      <c r="C40" s="4" t="s">
        <v>59</v>
      </c>
      <c r="D40"/>
      <c r="E40"/>
      <c r="F40"/>
      <c r="G40"/>
      <c r="H40" s="7" t="s">
        <v>60</v>
      </c>
    </row>
    <row r="41" spans="1:8" x14ac:dyDescent="0.25">
      <c r="B41" s="7">
        <v>10</v>
      </c>
      <c r="C41" s="4" t="s">
        <v>61</v>
      </c>
      <c r="D41"/>
      <c r="E41"/>
      <c r="F41"/>
      <c r="G41"/>
      <c r="H41" s="7" t="s">
        <v>62</v>
      </c>
    </row>
    <row r="42" spans="1:8" x14ac:dyDescent="0.25">
      <c r="B42" s="7">
        <v>11</v>
      </c>
      <c r="C42" s="4" t="s">
        <v>63</v>
      </c>
      <c r="D42"/>
      <c r="E42"/>
      <c r="F42"/>
      <c r="G42"/>
      <c r="H42" s="7" t="s">
        <v>64</v>
      </c>
    </row>
    <row r="43" spans="1:8" x14ac:dyDescent="0.25">
      <c r="B43" s="7">
        <v>12</v>
      </c>
      <c r="C43" s="4" t="s">
        <v>65</v>
      </c>
      <c r="D43"/>
      <c r="E43"/>
      <c r="F43"/>
      <c r="G43"/>
      <c r="H43" s="7" t="s">
        <v>66</v>
      </c>
    </row>
    <row r="44" spans="1:8" x14ac:dyDescent="0.25">
      <c r="B44" s="7">
        <v>13</v>
      </c>
      <c r="C44" s="4" t="s">
        <v>67</v>
      </c>
      <c r="D44"/>
      <c r="E44"/>
      <c r="F44"/>
      <c r="G44"/>
      <c r="H44" s="7" t="s">
        <v>68</v>
      </c>
    </row>
    <row r="45" spans="1:1" x14ac:dyDescent="0.25"/>
    <row r="46" spans="1:8" x14ac:dyDescent="0.25">
      <c r="B46" s="5" t="s">
        <v>69</v>
      </c>
      <c r="C46"/>
      <c r="D46"/>
      <c r="E46"/>
      <c r="F46"/>
      <c r="G46"/>
      <c r="H46"/>
    </row>
    <row r="47" ht="32" customHeight="1" spans="1:8" x14ac:dyDescent="0.25">
      <c r="B47" s="8" t="s">
        <v>70</v>
      </c>
      <c r="C47"/>
      <c r="D47"/>
      <c r="E47"/>
      <c r="F47"/>
      <c r="G47"/>
      <c r="H47"/>
    </row>
    <row r="48" ht="32" customHeight="1" spans="1:8" x14ac:dyDescent="0.25">
      <c r="B48" s="8" t="s">
        <v>71</v>
      </c>
      <c r="C48"/>
      <c r="D48"/>
      <c r="E48"/>
      <c r="F48"/>
      <c r="G48"/>
      <c r="H48"/>
    </row>
    <row r="49" ht="32" customHeight="1" spans="1:8" x14ac:dyDescent="0.25">
      <c r="B49" s="8" t="s">
        <v>72</v>
      </c>
      <c r="C49"/>
      <c r="D49"/>
      <c r="E49"/>
      <c r="F49"/>
      <c r="G49"/>
      <c r="H49"/>
    </row>
    <row r="50" ht="32" customHeight="1" spans="1:8" x14ac:dyDescent="0.25">
      <c r="B50" s="8" t="s">
        <v>73</v>
      </c>
      <c r="C50"/>
      <c r="D50"/>
      <c r="E50"/>
      <c r="F50"/>
      <c r="G50"/>
      <c r="H50"/>
    </row>
    <row r="51" ht="32" customHeight="1" spans="1:8" x14ac:dyDescent="0.25">
      <c r="B51" s="8" t="s">
        <v>74</v>
      </c>
      <c r="C51"/>
      <c r="D51"/>
      <c r="E51"/>
      <c r="F51"/>
      <c r="G51"/>
      <c r="H51"/>
    </row>
    <row r="52" ht="32" customHeight="1" spans="1:8" x14ac:dyDescent="0.25">
      <c r="B52" s="8" t="s">
        <v>75</v>
      </c>
      <c r="C52"/>
      <c r="D52"/>
      <c r="E52"/>
      <c r="F52"/>
      <c r="G52"/>
      <c r="H52"/>
    </row>
    <row r="53" ht="32" customHeight="1" spans="1:8" x14ac:dyDescent="0.25">
      <c r="B53" s="8" t="s">
        <v>76</v>
      </c>
      <c r="C53"/>
      <c r="D53"/>
      <c r="E53"/>
      <c r="F53"/>
      <c r="G53"/>
      <c r="H53"/>
    </row>
    <row r="54" ht="32" customHeight="1" spans="1:8" x14ac:dyDescent="0.25">
      <c r="B54" s="8" t="s">
        <v>77</v>
      </c>
      <c r="C54"/>
      <c r="D54"/>
      <c r="E54"/>
      <c r="F54"/>
      <c r="G54"/>
      <c r="H54"/>
    </row>
    <row r="55" ht="32" customHeight="1" spans="1:8" x14ac:dyDescent="0.25">
      <c r="B55" s="8" t="s">
        <v>78</v>
      </c>
      <c r="C55"/>
      <c r="D55"/>
      <c r="E55"/>
      <c r="F55"/>
      <c r="G55"/>
      <c r="H55"/>
    </row>
    <row r="56" spans="1:1" x14ac:dyDescent="0.25"/>
    <row r="57" spans="1:8" x14ac:dyDescent="0.25">
      <c r="B57" s="5" t="s">
        <v>79</v>
      </c>
      <c r="C57"/>
      <c r="D57"/>
      <c r="E57"/>
      <c r="F57"/>
      <c r="G57"/>
      <c r="H57"/>
    </row>
    <row r="58" ht="22" customHeight="1" spans="1:8" x14ac:dyDescent="0.25">
      <c r="B58" s="9" t="s">
        <v>80</v>
      </c>
      <c r="C58" s="8" t="s">
        <v>81</v>
      </c>
      <c r="D58"/>
      <c r="E58"/>
      <c r="F58"/>
      <c r="G58"/>
      <c r="H58"/>
    </row>
    <row r="59" ht="28" customHeight="1" spans="1:8" x14ac:dyDescent="0.25">
      <c r="B59" s="10" t="s">
        <v>82</v>
      </c>
      <c r="C59" s="11" t="s">
        <v>83</v>
      </c>
      <c r="D59"/>
      <c r="E59"/>
      <c r="F59"/>
      <c r="G59"/>
      <c r="H59"/>
    </row>
    <row r="60" spans="1:8" x14ac:dyDescent="0.25">
      <c r="B60" s="6" t="s">
        <v>40</v>
      </c>
      <c r="C60" s="6" t="s">
        <v>41</v>
      </c>
      <c r="D60" s="6" t="s">
        <v>84</v>
      </c>
      <c r="E60" s="6" t="s">
        <v>85</v>
      </c>
      <c r="F60"/>
      <c r="G60"/>
      <c r="H60"/>
    </row>
    <row r="61" ht="18" customHeight="1" spans="1:8" x14ac:dyDescent="0.25">
      <c r="B61" s="12" t="s">
        <v>44</v>
      </c>
      <c r="C61" s="13" t="s">
        <v>86</v>
      </c>
      <c r="D61" s="10" t="s">
        <v>87</v>
      </c>
      <c r="E61" s="13" t="s">
        <v>88</v>
      </c>
      <c r="F61"/>
      <c r="G61"/>
      <c r="H61"/>
    </row>
    <row r="62" ht="18" customHeight="1" spans="1:8" x14ac:dyDescent="0.25">
      <c r="B62" s="12" t="s">
        <v>89</v>
      </c>
      <c r="C62" s="13" t="s">
        <v>90</v>
      </c>
      <c r="D62" s="10" t="s">
        <v>87</v>
      </c>
      <c r="E62" s="13" t="s">
        <v>91</v>
      </c>
      <c r="F62"/>
      <c r="G62"/>
      <c r="H62"/>
    </row>
    <row r="63" ht="18" customHeight="1" spans="1:8" x14ac:dyDescent="0.25">
      <c r="B63" s="12" t="s">
        <v>92</v>
      </c>
      <c r="C63" s="13" t="s">
        <v>93</v>
      </c>
      <c r="D63" s="9" t="s">
        <v>94</v>
      </c>
      <c r="E63" s="13" t="s">
        <v>95</v>
      </c>
      <c r="F63"/>
      <c r="G63"/>
      <c r="H63"/>
    </row>
    <row r="64" ht="18" customHeight="1" spans="1:8" x14ac:dyDescent="0.25">
      <c r="B64" s="12" t="s">
        <v>96</v>
      </c>
      <c r="C64" s="13" t="s">
        <v>97</v>
      </c>
      <c r="D64" s="9" t="s">
        <v>94</v>
      </c>
      <c r="E64" s="13" t="s">
        <v>98</v>
      </c>
      <c r="F64"/>
      <c r="G64"/>
      <c r="H64"/>
    </row>
    <row r="65" ht="18" customHeight="1" spans="1:8" x14ac:dyDescent="0.25">
      <c r="B65" s="12" t="s">
        <v>48</v>
      </c>
      <c r="C65" s="13" t="s">
        <v>99</v>
      </c>
      <c r="D65" s="9" t="s">
        <v>94</v>
      </c>
      <c r="E65" s="13" t="s">
        <v>100</v>
      </c>
      <c r="F65"/>
      <c r="G65"/>
      <c r="H65"/>
    </row>
    <row r="66" ht="18" customHeight="1" spans="1:8" x14ac:dyDescent="0.25">
      <c r="B66" s="12" t="s">
        <v>50</v>
      </c>
      <c r="C66" s="13" t="s">
        <v>101</v>
      </c>
      <c r="D66" s="9" t="s">
        <v>94</v>
      </c>
      <c r="E66" s="13" t="s">
        <v>102</v>
      </c>
      <c r="F66"/>
      <c r="G66"/>
      <c r="H66"/>
    </row>
    <row r="67" ht="18" customHeight="1" spans="1:8" x14ac:dyDescent="0.25">
      <c r="B67" s="12" t="s">
        <v>103</v>
      </c>
      <c r="C67" s="13" t="s">
        <v>104</v>
      </c>
      <c r="D67" s="9" t="s">
        <v>94</v>
      </c>
      <c r="E67" s="13" t="s">
        <v>105</v>
      </c>
      <c r="F67"/>
      <c r="G67"/>
      <c r="H67"/>
    </row>
    <row r="68" ht="18" customHeight="1" spans="1:8" x14ac:dyDescent="0.25">
      <c r="B68" s="12" t="s">
        <v>106</v>
      </c>
      <c r="C68" s="13" t="s">
        <v>107</v>
      </c>
      <c r="D68" s="9" t="s">
        <v>94</v>
      </c>
      <c r="E68" s="13" t="s">
        <v>108</v>
      </c>
      <c r="F68"/>
      <c r="G68"/>
      <c r="H68"/>
    </row>
    <row r="69" ht="18" customHeight="1" spans="1:8" x14ac:dyDescent="0.25">
      <c r="B69" s="12" t="s">
        <v>109</v>
      </c>
      <c r="C69" s="13" t="s">
        <v>110</v>
      </c>
      <c r="D69" s="9" t="s">
        <v>94</v>
      </c>
      <c r="E69" s="13" t="s">
        <v>111</v>
      </c>
      <c r="F69"/>
      <c r="G69"/>
      <c r="H69"/>
    </row>
    <row r="70" ht="18" customHeight="1" spans="1:8" x14ac:dyDescent="0.25">
      <c r="B70" s="12" t="s">
        <v>112</v>
      </c>
      <c r="C70" s="13" t="s">
        <v>113</v>
      </c>
      <c r="D70" s="9" t="s">
        <v>94</v>
      </c>
      <c r="E70" s="13" t="s">
        <v>114</v>
      </c>
      <c r="F70"/>
      <c r="G70"/>
      <c r="H70"/>
    </row>
    <row r="71" ht="18" customHeight="1" spans="1:8" x14ac:dyDescent="0.25">
      <c r="B71" s="12" t="s">
        <v>115</v>
      </c>
      <c r="C71" s="13" t="s">
        <v>116</v>
      </c>
      <c r="D71" s="10" t="s">
        <v>87</v>
      </c>
      <c r="E71" s="13" t="s">
        <v>117</v>
      </c>
      <c r="F71"/>
      <c r="G71"/>
      <c r="H71"/>
    </row>
    <row r="72" ht="18" customHeight="1" spans="1:8" x14ac:dyDescent="0.25">
      <c r="B72" s="12" t="s">
        <v>118</v>
      </c>
      <c r="C72" s="13" t="s">
        <v>119</v>
      </c>
      <c r="D72" s="10" t="s">
        <v>87</v>
      </c>
      <c r="E72" s="13" t="s">
        <v>120</v>
      </c>
      <c r="F72"/>
      <c r="G72"/>
      <c r="H72"/>
    </row>
    <row r="73" ht="18" customHeight="1" spans="1:8" x14ac:dyDescent="0.25">
      <c r="B73" s="12" t="s">
        <v>121</v>
      </c>
      <c r="C73" s="13" t="s">
        <v>122</v>
      </c>
      <c r="D73" s="10" t="s">
        <v>87</v>
      </c>
      <c r="E73" s="13" t="s">
        <v>123</v>
      </c>
      <c r="F73"/>
      <c r="G73"/>
      <c r="H73"/>
    </row>
    <row r="74" ht="18" customHeight="1" spans="1:8" x14ac:dyDescent="0.25">
      <c r="B74" s="12" t="s">
        <v>54</v>
      </c>
      <c r="C74" s="13" t="s">
        <v>124</v>
      </c>
      <c r="D74" s="10" t="s">
        <v>87</v>
      </c>
      <c r="E74" s="13" t="s">
        <v>125</v>
      </c>
      <c r="F74"/>
      <c r="G74"/>
      <c r="H74"/>
    </row>
    <row r="75" ht="18" customHeight="1" spans="1:8" x14ac:dyDescent="0.25">
      <c r="B75" s="12" t="s">
        <v>56</v>
      </c>
      <c r="C75" s="13" t="s">
        <v>126</v>
      </c>
      <c r="D75" s="10" t="s">
        <v>87</v>
      </c>
      <c r="E75" s="13" t="s">
        <v>127</v>
      </c>
      <c r="F75"/>
      <c r="G75"/>
      <c r="H75"/>
    </row>
    <row r="76" ht="18" customHeight="1" spans="1:8" x14ac:dyDescent="0.25">
      <c r="B76" s="12" t="s">
        <v>58</v>
      </c>
      <c r="C76" s="13" t="s">
        <v>128</v>
      </c>
      <c r="D76" s="10" t="s">
        <v>87</v>
      </c>
      <c r="E76" s="13" t="s">
        <v>129</v>
      </c>
      <c r="F76"/>
      <c r="G76"/>
      <c r="H76"/>
    </row>
    <row r="77" ht="18" customHeight="1" spans="1:8" x14ac:dyDescent="0.25">
      <c r="B77" s="12" t="s">
        <v>60</v>
      </c>
      <c r="C77" s="13" t="s">
        <v>59</v>
      </c>
      <c r="D77" s="10" t="s">
        <v>87</v>
      </c>
      <c r="E77" s="13" t="s">
        <v>130</v>
      </c>
      <c r="F77"/>
      <c r="G77"/>
      <c r="H77"/>
    </row>
    <row r="78" ht="18" customHeight="1" spans="1:8" x14ac:dyDescent="0.25">
      <c r="B78" s="12" t="s">
        <v>131</v>
      </c>
      <c r="C78" s="13" t="s">
        <v>132</v>
      </c>
      <c r="D78" s="10" t="s">
        <v>87</v>
      </c>
      <c r="E78" s="13" t="s">
        <v>133</v>
      </c>
      <c r="F78"/>
      <c r="G78"/>
      <c r="H78"/>
    </row>
    <row r="79" ht="18" customHeight="1" spans="1:8" x14ac:dyDescent="0.25">
      <c r="B79" s="12" t="s">
        <v>134</v>
      </c>
      <c r="C79" s="13" t="s">
        <v>135</v>
      </c>
      <c r="D79" s="10" t="s">
        <v>87</v>
      </c>
      <c r="E79" s="13" t="s">
        <v>136</v>
      </c>
      <c r="F79"/>
      <c r="G79"/>
      <c r="H79"/>
    </row>
    <row r="80" ht="18" customHeight="1" spans="1:8" x14ac:dyDescent="0.25">
      <c r="B80" s="12" t="s">
        <v>137</v>
      </c>
      <c r="C80" s="13" t="s">
        <v>138</v>
      </c>
      <c r="D80" s="10" t="s">
        <v>87</v>
      </c>
      <c r="E80" s="13" t="s">
        <v>139</v>
      </c>
      <c r="F80"/>
      <c r="G80"/>
      <c r="H80"/>
    </row>
    <row r="81" ht="18" customHeight="1" spans="1:8" x14ac:dyDescent="0.25">
      <c r="B81" s="12" t="s">
        <v>140</v>
      </c>
      <c r="C81" s="13" t="s">
        <v>141</v>
      </c>
      <c r="D81" s="10" t="s">
        <v>87</v>
      </c>
      <c r="E81" s="13" t="s">
        <v>142</v>
      </c>
      <c r="F81"/>
      <c r="G81"/>
      <c r="H81"/>
    </row>
    <row r="82" ht="18" customHeight="1" spans="1:8" x14ac:dyDescent="0.25">
      <c r="B82" s="12" t="s">
        <v>64</v>
      </c>
      <c r="C82" s="13" t="s">
        <v>143</v>
      </c>
      <c r="D82" s="10" t="s">
        <v>87</v>
      </c>
      <c r="E82" s="13" t="s">
        <v>144</v>
      </c>
      <c r="F82"/>
      <c r="G82"/>
      <c r="H82"/>
    </row>
    <row r="83" ht="18" customHeight="1" spans="1:8" x14ac:dyDescent="0.25">
      <c r="B83" s="12" t="s">
        <v>66</v>
      </c>
      <c r="C83" s="13" t="s">
        <v>145</v>
      </c>
      <c r="D83" s="10" t="s">
        <v>87</v>
      </c>
      <c r="E83" s="13" t="s">
        <v>146</v>
      </c>
      <c r="F83"/>
      <c r="G83"/>
      <c r="H83"/>
    </row>
    <row r="84" ht="18" customHeight="1" spans="1:8" x14ac:dyDescent="0.25">
      <c r="B84" s="12" t="s">
        <v>68</v>
      </c>
      <c r="C84" s="13" t="s">
        <v>147</v>
      </c>
      <c r="D84" s="10" t="s">
        <v>87</v>
      </c>
      <c r="E84" s="13" t="s">
        <v>148</v>
      </c>
      <c r="F84"/>
      <c r="G84"/>
      <c r="H84"/>
    </row>
    <row r="85" spans="1:1" x14ac:dyDescent="0.25"/>
    <row r="86" ht="24" customHeight="1" spans="1:8" x14ac:dyDescent="0.25">
      <c r="B86" s="14" t="s">
        <v>149</v>
      </c>
      <c r="C86"/>
      <c r="D86"/>
      <c r="E86"/>
      <c r="F86"/>
      <c r="G86"/>
      <c r="H86"/>
    </row>
  </sheetData>
  <mergeCells count="76">
    <mergeCell ref="B2:H3"/>
    <mergeCell ref="B4:H5"/>
    <mergeCell ref="C7:H7"/>
    <mergeCell ref="C8:H8"/>
    <mergeCell ref="C9:H9"/>
    <mergeCell ref="C10:H10"/>
    <mergeCell ref="C11:H11"/>
    <mergeCell ref="B13:H13"/>
    <mergeCell ref="C14:H14"/>
    <mergeCell ref="C15:H15"/>
    <mergeCell ref="C16:H16"/>
    <mergeCell ref="C17:H17"/>
    <mergeCell ref="C18:H18"/>
    <mergeCell ref="C19:H19"/>
    <mergeCell ref="C20:H20"/>
    <mergeCell ref="C21:H21"/>
    <mergeCell ref="B23:H23"/>
    <mergeCell ref="C24:H24"/>
    <mergeCell ref="C25:H25"/>
    <mergeCell ref="C26:H26"/>
    <mergeCell ref="C27:H27"/>
    <mergeCell ref="C28:H28"/>
    <mergeCell ref="B30:H30"/>
    <mergeCell ref="C31:G31"/>
    <mergeCell ref="C32:G32"/>
    <mergeCell ref="C33:G33"/>
    <mergeCell ref="C34:G34"/>
    <mergeCell ref="C35:G35"/>
    <mergeCell ref="C36:G36"/>
    <mergeCell ref="C37:G37"/>
    <mergeCell ref="C38:G38"/>
    <mergeCell ref="C39:G39"/>
    <mergeCell ref="C40:G40"/>
    <mergeCell ref="C41:G41"/>
    <mergeCell ref="C42:G42"/>
    <mergeCell ref="C43:G43"/>
    <mergeCell ref="C44:G44"/>
    <mergeCell ref="B46:H46"/>
    <mergeCell ref="B47:H47"/>
    <mergeCell ref="B48:H48"/>
    <mergeCell ref="B49:H49"/>
    <mergeCell ref="B50:H50"/>
    <mergeCell ref="B51:H51"/>
    <mergeCell ref="B52:H52"/>
    <mergeCell ref="B53:H53"/>
    <mergeCell ref="B54:H54"/>
    <mergeCell ref="B55:H55"/>
    <mergeCell ref="B57:H57"/>
    <mergeCell ref="C58:H58"/>
    <mergeCell ref="C59:H59"/>
    <mergeCell ref="E60:H60"/>
    <mergeCell ref="E61:H61"/>
    <mergeCell ref="E62:H62"/>
    <mergeCell ref="E63:H63"/>
    <mergeCell ref="E64:H64"/>
    <mergeCell ref="E65:H65"/>
    <mergeCell ref="E66:H66"/>
    <mergeCell ref="E67:H67"/>
    <mergeCell ref="E68:H68"/>
    <mergeCell ref="E69:H69"/>
    <mergeCell ref="E70:H70"/>
    <mergeCell ref="E71:H71"/>
    <mergeCell ref="E72:H72"/>
    <mergeCell ref="E73:H73"/>
    <mergeCell ref="E74:H74"/>
    <mergeCell ref="E75:H75"/>
    <mergeCell ref="E76:H76"/>
    <mergeCell ref="E77:H77"/>
    <mergeCell ref="E78:H78"/>
    <mergeCell ref="E79:H79"/>
    <mergeCell ref="E80:H80"/>
    <mergeCell ref="E81:H81"/>
    <mergeCell ref="E82:H82"/>
    <mergeCell ref="E83:H83"/>
    <mergeCell ref="E84:H84"/>
    <mergeCell ref="B86:H86"/>
  </mergeCells>
  <printOptions horizontalCentered="1"/>
  <pageMargins left="0.4" right="0.4" top="0.5" bottom="0.5" header="0.3" footer="0.3"/>
  <pageSetup paperSize="9" orientation="portrait" fitToWidth="1" fitToHeight="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74"/>
  <sheetFormatPr defaultRowHeight="15" outlineLevelRow="0" outlineLevelCol="0" x14ac:dyDescent="55"/>
  <cols>
    <col min="1" max="1" width="3" customWidth="1"/>
    <col min="2" max="2" width="30" customWidth="1"/>
    <col min="3" max="3" width="90" customWidth="1"/>
    <col min="4" max="4" width="3" customWidth="1"/>
  </cols>
  <sheetData>
    <row r="1" spans="1:1" x14ac:dyDescent="0.25"/>
    <row r="2" ht="27.75" customHeight="1" spans="1:3" x14ac:dyDescent="0.25">
      <c r="B2" s="1" t="s">
        <v>150</v>
      </c>
      <c r="C2"/>
    </row>
    <row r="3" spans="1:9" x14ac:dyDescent="0.25"/>
    <row r="4" spans="1:3" x14ac:dyDescent="0.25">
      <c r="B4" s="5" t="s">
        <v>151</v>
      </c>
      <c r="C4"/>
    </row>
    <row r="5" ht="50" customHeight="1" spans="1:3" x14ac:dyDescent="0.25">
      <c r="B5" s="15" t="s">
        <v>152</v>
      </c>
      <c r="C5"/>
    </row>
    <row r="6" spans="1:3" x14ac:dyDescent="0.25">
      <c r="B6" s="6" t="s">
        <v>10</v>
      </c>
      <c r="C6" s="6" t="s">
        <v>153</v>
      </c>
    </row>
    <row r="7" ht="54" customHeight="1" spans="1:3" x14ac:dyDescent="0.25">
      <c r="B7" s="3" t="s">
        <v>154</v>
      </c>
      <c r="C7" s="15" t="s">
        <v>155</v>
      </c>
    </row>
    <row r="8" ht="36" customHeight="1" spans="1:3" x14ac:dyDescent="0.25">
      <c r="B8" s="3" t="s">
        <v>156</v>
      </c>
      <c r="C8" s="15" t="s">
        <v>157</v>
      </c>
    </row>
    <row r="9" ht="54" customHeight="1" spans="1:3" x14ac:dyDescent="0.25">
      <c r="B9" s="3" t="s">
        <v>158</v>
      </c>
      <c r="C9" s="15" t="s">
        <v>159</v>
      </c>
    </row>
    <row r="10" ht="36" customHeight="1" spans="1:3" x14ac:dyDescent="0.25">
      <c r="B10" s="3" t="s">
        <v>160</v>
      </c>
      <c r="C10" s="15" t="s">
        <v>161</v>
      </c>
    </row>
    <row r="11" spans="1:1" x14ac:dyDescent="0.25"/>
    <row r="12" spans="1:3" x14ac:dyDescent="0.25">
      <c r="B12" s="5" t="s">
        <v>162</v>
      </c>
      <c r="C12"/>
    </row>
    <row r="13" ht="80" customHeight="1" spans="1:3" x14ac:dyDescent="0.25">
      <c r="B13" s="15" t="s">
        <v>163</v>
      </c>
      <c r="C13"/>
    </row>
    <row r="14" spans="1:1" x14ac:dyDescent="0.25"/>
    <row r="15" spans="1:3" x14ac:dyDescent="0.25">
      <c r="B15" s="5" t="s">
        <v>164</v>
      </c>
      <c r="C15"/>
    </row>
    <row r="16" spans="1:3" x14ac:dyDescent="0.25">
      <c r="B16" s="6" t="s">
        <v>165</v>
      </c>
      <c r="C16" s="6" t="s">
        <v>41</v>
      </c>
    </row>
    <row r="17" spans="1:3" x14ac:dyDescent="0.25">
      <c r="B17" s="4" t="s">
        <v>154</v>
      </c>
      <c r="C17" s="4" t="s">
        <v>166</v>
      </c>
    </row>
    <row r="18" spans="1:3" x14ac:dyDescent="0.25">
      <c r="B18" s="4" t="s">
        <v>167</v>
      </c>
      <c r="C18" s="4" t="s">
        <v>168</v>
      </c>
    </row>
    <row r="19" spans="1:3" x14ac:dyDescent="0.25">
      <c r="B19" s="4" t="s">
        <v>169</v>
      </c>
      <c r="C19" s="4" t="s">
        <v>170</v>
      </c>
    </row>
    <row r="20" spans="1:3" x14ac:dyDescent="0.25">
      <c r="B20" s="4" t="s">
        <v>171</v>
      </c>
      <c r="C20" s="4" t="s">
        <v>172</v>
      </c>
    </row>
    <row r="21" spans="1:3" x14ac:dyDescent="0.25">
      <c r="B21" s="4" t="s">
        <v>158</v>
      </c>
      <c r="C21" s="4" t="s">
        <v>173</v>
      </c>
    </row>
    <row r="22" spans="1:3" x14ac:dyDescent="0.25">
      <c r="B22" s="4" t="s">
        <v>174</v>
      </c>
      <c r="C22" s="4" t="s">
        <v>175</v>
      </c>
    </row>
    <row r="23" spans="1:3" x14ac:dyDescent="0.25">
      <c r="B23" s="4" t="s">
        <v>176</v>
      </c>
      <c r="C23" s="4" t="s">
        <v>177</v>
      </c>
    </row>
    <row r="24" spans="1:3" x14ac:dyDescent="0.25">
      <c r="B24" s="4" t="s">
        <v>178</v>
      </c>
      <c r="C24" s="4" t="s">
        <v>179</v>
      </c>
    </row>
    <row r="25" spans="1:3" x14ac:dyDescent="0.25">
      <c r="B25" s="4" t="s">
        <v>180</v>
      </c>
      <c r="C25" s="4" t="s">
        <v>181</v>
      </c>
    </row>
    <row r="26" spans="1:3" x14ac:dyDescent="0.25">
      <c r="B26" s="4" t="s">
        <v>182</v>
      </c>
      <c r="C26" s="4" t="s">
        <v>183</v>
      </c>
    </row>
    <row r="27" spans="1:3" x14ac:dyDescent="0.25">
      <c r="B27" s="4" t="s">
        <v>184</v>
      </c>
      <c r="C27" s="4" t="s">
        <v>185</v>
      </c>
    </row>
    <row r="28" spans="1:3" x14ac:dyDescent="0.25">
      <c r="B28" s="4" t="s">
        <v>186</v>
      </c>
      <c r="C28" s="4" t="s">
        <v>187</v>
      </c>
    </row>
    <row r="29" spans="1:3" x14ac:dyDescent="0.25">
      <c r="B29" s="4" t="s">
        <v>188</v>
      </c>
      <c r="C29" s="4" t="s">
        <v>189</v>
      </c>
    </row>
    <row r="30" spans="1:3" x14ac:dyDescent="0.25">
      <c r="B30" s="4" t="s">
        <v>190</v>
      </c>
      <c r="C30" s="4" t="s">
        <v>191</v>
      </c>
    </row>
    <row r="31" spans="1:3" x14ac:dyDescent="0.25">
      <c r="B31" s="4" t="s">
        <v>192</v>
      </c>
      <c r="C31" s="4" t="s">
        <v>193</v>
      </c>
    </row>
    <row r="32" spans="1:3" x14ac:dyDescent="0.25">
      <c r="B32" s="4" t="s">
        <v>194</v>
      </c>
      <c r="C32" s="4" t="s">
        <v>195</v>
      </c>
    </row>
    <row r="33" spans="1:3" x14ac:dyDescent="0.25">
      <c r="B33" s="4" t="s">
        <v>196</v>
      </c>
      <c r="C33" s="4" t="s">
        <v>197</v>
      </c>
    </row>
    <row r="34" spans="1:3" x14ac:dyDescent="0.25">
      <c r="B34" s="4" t="s">
        <v>198</v>
      </c>
      <c r="C34" s="4" t="s">
        <v>199</v>
      </c>
    </row>
    <row r="35" spans="1:3" x14ac:dyDescent="0.25">
      <c r="B35" s="4" t="s">
        <v>200</v>
      </c>
      <c r="C35" s="4" t="s">
        <v>201</v>
      </c>
    </row>
    <row r="36" spans="1:1" x14ac:dyDescent="0.25"/>
    <row r="37" spans="1:3" x14ac:dyDescent="0.25">
      <c r="B37" s="5" t="s">
        <v>202</v>
      </c>
      <c r="C37"/>
    </row>
    <row r="38" spans="1:3" x14ac:dyDescent="0.25">
      <c r="B38" s="6" t="s">
        <v>203</v>
      </c>
      <c r="C38" s="6" t="s">
        <v>204</v>
      </c>
    </row>
    <row r="39" spans="1:3" x14ac:dyDescent="0.25">
      <c r="B39" s="4" t="s">
        <v>205</v>
      </c>
      <c r="C39" s="4" t="s">
        <v>206</v>
      </c>
    </row>
    <row r="40" spans="1:3" x14ac:dyDescent="0.25">
      <c r="B40" s="4" t="s">
        <v>207</v>
      </c>
      <c r="C40" s="4" t="s">
        <v>208</v>
      </c>
    </row>
    <row r="41" spans="1:3" x14ac:dyDescent="0.25">
      <c r="B41" s="4" t="s">
        <v>209</v>
      </c>
      <c r="C41" s="4" t="s">
        <v>210</v>
      </c>
    </row>
    <row r="42" spans="1:3" x14ac:dyDescent="0.25">
      <c r="B42" s="4" t="s">
        <v>211</v>
      </c>
      <c r="C42" s="4" t="s">
        <v>212</v>
      </c>
    </row>
    <row r="43" spans="1:3" x14ac:dyDescent="0.25">
      <c r="B43" s="4" t="s">
        <v>213</v>
      </c>
      <c r="C43" s="4" t="s">
        <v>214</v>
      </c>
    </row>
    <row r="44" spans="1:3" x14ac:dyDescent="0.25">
      <c r="B44" s="4" t="s">
        <v>215</v>
      </c>
      <c r="C44" s="4" t="s">
        <v>216</v>
      </c>
    </row>
    <row r="45" spans="1:3" x14ac:dyDescent="0.25">
      <c r="B45" s="4" t="s">
        <v>217</v>
      </c>
      <c r="C45" s="4" t="s">
        <v>218</v>
      </c>
    </row>
    <row r="46" spans="1:3" x14ac:dyDescent="0.25">
      <c r="B46" s="4" t="s">
        <v>219</v>
      </c>
      <c r="C46" s="4" t="s">
        <v>220</v>
      </c>
    </row>
    <row r="47" spans="1:3" x14ac:dyDescent="0.25">
      <c r="B47" s="4" t="s">
        <v>221</v>
      </c>
      <c r="C47" s="4" t="s">
        <v>222</v>
      </c>
    </row>
    <row r="48" spans="1:3" x14ac:dyDescent="0.25">
      <c r="B48" s="4" t="s">
        <v>223</v>
      </c>
      <c r="C48" s="4" t="s">
        <v>224</v>
      </c>
    </row>
    <row r="49" spans="1:3" x14ac:dyDescent="0.25">
      <c r="B49" s="4" t="s">
        <v>225</v>
      </c>
      <c r="C49" s="4" t="s">
        <v>226</v>
      </c>
    </row>
    <row r="50" spans="1:3" x14ac:dyDescent="0.25">
      <c r="B50" s="4" t="s">
        <v>227</v>
      </c>
      <c r="C50" s="4" t="s">
        <v>228</v>
      </c>
    </row>
    <row r="51" spans="1:3" x14ac:dyDescent="0.25">
      <c r="B51" s="4" t="s">
        <v>229</v>
      </c>
      <c r="C51" s="4" t="s">
        <v>230</v>
      </c>
    </row>
    <row r="52" spans="1:3" x14ac:dyDescent="0.25">
      <c r="B52" s="4" t="s">
        <v>231</v>
      </c>
      <c r="C52" s="4" t="s">
        <v>232</v>
      </c>
    </row>
    <row r="53" spans="1:3" x14ac:dyDescent="0.25">
      <c r="B53" s="4" t="s">
        <v>233</v>
      </c>
      <c r="C53" s="4" t="s">
        <v>234</v>
      </c>
    </row>
    <row r="54" spans="1:3" x14ac:dyDescent="0.25">
      <c r="B54" s="4" t="s">
        <v>235</v>
      </c>
      <c r="C54" s="4" t="s">
        <v>236</v>
      </c>
    </row>
    <row r="55" spans="1:3" x14ac:dyDescent="0.25">
      <c r="B55" s="4" t="s">
        <v>237</v>
      </c>
      <c r="C55" s="4" t="s">
        <v>238</v>
      </c>
    </row>
    <row r="56" spans="1:3" x14ac:dyDescent="0.25">
      <c r="B56" s="4" t="s">
        <v>239</v>
      </c>
      <c r="C56" s="4" t="s">
        <v>240</v>
      </c>
    </row>
    <row r="57" spans="1:3" x14ac:dyDescent="0.25">
      <c r="B57" s="4" t="s">
        <v>241</v>
      </c>
      <c r="C57" s="4" t="s">
        <v>242</v>
      </c>
    </row>
    <row r="58" spans="1:3" x14ac:dyDescent="0.25">
      <c r="B58" s="4" t="s">
        <v>243</v>
      </c>
      <c r="C58" s="4" t="s">
        <v>244</v>
      </c>
    </row>
    <row r="59" spans="1:3" x14ac:dyDescent="0.25">
      <c r="B59" s="4" t="s">
        <v>245</v>
      </c>
      <c r="C59" s="4" t="s">
        <v>246</v>
      </c>
    </row>
    <row r="60" spans="1:3" x14ac:dyDescent="0.25">
      <c r="B60" s="4" t="s">
        <v>247</v>
      </c>
      <c r="C60" s="4" t="s">
        <v>248</v>
      </c>
    </row>
    <row r="61" spans="1:3" x14ac:dyDescent="0.25">
      <c r="B61" s="4" t="s">
        <v>249</v>
      </c>
      <c r="C61" s="4" t="s">
        <v>250</v>
      </c>
    </row>
    <row r="62" spans="1:3" x14ac:dyDescent="0.25">
      <c r="B62" s="4" t="s">
        <v>251</v>
      </c>
      <c r="C62" s="4" t="s">
        <v>252</v>
      </c>
    </row>
    <row r="63" spans="1:3" x14ac:dyDescent="0.25">
      <c r="B63" s="4" t="s">
        <v>253</v>
      </c>
      <c r="C63" s="4" t="s">
        <v>254</v>
      </c>
    </row>
    <row r="64" spans="1:3" x14ac:dyDescent="0.25">
      <c r="B64" s="4" t="s">
        <v>255</v>
      </c>
      <c r="C64" s="4" t="s">
        <v>256</v>
      </c>
    </row>
    <row r="65" spans="1:1" x14ac:dyDescent="0.25"/>
    <row r="66" spans="1:1" x14ac:dyDescent="0.25"/>
    <row r="67" spans="1:3" x14ac:dyDescent="0.25">
      <c r="B67" s="5" t="s">
        <v>257</v>
      </c>
      <c r="C67"/>
    </row>
    <row r="68" ht="32" customHeight="1" spans="1:3" x14ac:dyDescent="0.25">
      <c r="B68" s="16" t="s">
        <v>258</v>
      </c>
      <c r="C68" s="15" t="s">
        <v>259</v>
      </c>
    </row>
    <row r="69" ht="32" customHeight="1" spans="1:3" x14ac:dyDescent="0.25">
      <c r="B69" s="16" t="s">
        <v>260</v>
      </c>
      <c r="C69" s="15" t="s">
        <v>261</v>
      </c>
    </row>
    <row r="70" ht="20" customHeight="1" spans="1:3" x14ac:dyDescent="0.25">
      <c r="B70" s="16" t="s">
        <v>262</v>
      </c>
      <c r="C70" s="15" t="s">
        <v>263</v>
      </c>
    </row>
    <row r="71" ht="32" customHeight="1" spans="1:3" x14ac:dyDescent="0.25">
      <c r="B71" s="16" t="s">
        <v>264</v>
      </c>
      <c r="C71" s="15" t="s">
        <v>265</v>
      </c>
    </row>
    <row r="72" ht="32" customHeight="1" spans="1:3" x14ac:dyDescent="0.25">
      <c r="B72" s="16" t="s">
        <v>266</v>
      </c>
      <c r="C72" s="15" t="s">
        <v>267</v>
      </c>
    </row>
    <row r="73" ht="32" customHeight="1" spans="1:3" x14ac:dyDescent="0.25">
      <c r="B73" s="16" t="s">
        <v>268</v>
      </c>
      <c r="C73" s="15" t="s">
        <v>269</v>
      </c>
    </row>
    <row r="74" ht="32" customHeight="1" spans="1:3" x14ac:dyDescent="0.25">
      <c r="B74" s="16" t="s">
        <v>270</v>
      </c>
      <c r="C74" s="15" t="s">
        <v>271</v>
      </c>
    </row>
  </sheetData>
  <mergeCells count="8">
    <mergeCell ref="B2:C2"/>
    <mergeCell ref="B4:C4"/>
    <mergeCell ref="B5:C5"/>
    <mergeCell ref="B12:C12"/>
    <mergeCell ref="B13:C13"/>
    <mergeCell ref="B15:C15"/>
    <mergeCell ref="B37:C37"/>
    <mergeCell ref="B67:C67"/>
  </mergeCells>
  <printOptions horizontalCentered="1"/>
  <pageSetup paperSize="9" orientation="portrait" fitToWidth="1" fitToHeight="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43"/>
  <sheetViews>
    <sheetView workbookViewId="0">
      <pane ySplit="3" topLeftCell="A4" activePane="bottomLeft" state="frozen"/>
      <selection pane="bottomLeft" activeCell="A4" sqref="A4"/>
    </sheetView>
  </sheetViews>
  <sheetFormatPr defaultRowHeight="15" outlineLevelRow="0" outlineLevelCol="0" x14ac:dyDescent="55"/>
  <cols>
    <col min="1" max="1" width="7" customWidth="1"/>
    <col min="2" max="2" width="58" customWidth="1"/>
    <col min="3" max="3" width="22" customWidth="1"/>
    <col min="4" max="4" width="8" customWidth="1"/>
    <col min="6" max="6" width="13" customWidth="1"/>
    <col min="7" max="7" width="16" customWidth="1"/>
    <col min="8" max="8" width="32" customWidth="1"/>
  </cols>
  <sheetData>
    <row r="1" ht="27.75" customHeight="1" spans="1:8" x14ac:dyDescent="0.25">
      <c r="A1" s="1" t="s">
        <v>272</v>
      </c>
      <c r="B1"/>
      <c r="C1"/>
      <c r="D1"/>
      <c r="E1"/>
      <c r="F1"/>
      <c r="G1"/>
      <c r="H1"/>
    </row>
    <row r="2" ht="13.5" customHeight="1" spans="1:8" x14ac:dyDescent="0.25">
      <c r="A2" s="17" t="s">
        <v>273</v>
      </c>
      <c r="B2"/>
      <c r="C2"/>
      <c r="D2"/>
      <c r="E2"/>
      <c r="F2"/>
      <c r="G2"/>
      <c r="H2"/>
    </row>
    <row r="3" ht="27.75" customHeight="1" spans="1:9" x14ac:dyDescent="0.25">
      <c r="A3" s="6" t="s">
        <v>274</v>
      </c>
      <c r="B3" s="6" t="s">
        <v>41</v>
      </c>
      <c r="C3" s="6" t="s">
        <v>275</v>
      </c>
      <c r="D3" s="6" t="s">
        <v>276</v>
      </c>
      <c r="E3" s="6" t="s">
        <v>277</v>
      </c>
      <c r="F3" s="6" t="s">
        <v>278</v>
      </c>
      <c r="G3" s="6" t="s">
        <v>279</v>
      </c>
      <c r="H3" s="6" t="s">
        <v>280</v>
      </c>
    </row>
    <row r="4" ht="19.5" customHeight="1" spans="1:8" x14ac:dyDescent="0.25">
      <c r="A4" s="5" t="s">
        <v>281</v>
      </c>
      <c r="B4"/>
      <c r="C4"/>
      <c r="D4"/>
      <c r="E4"/>
      <c r="F4"/>
      <c r="G4"/>
      <c r="H4"/>
    </row>
    <row r="5" ht="32" customHeight="1" spans="1:8" x14ac:dyDescent="0.25">
      <c r="A5" s="18" t="s">
        <v>282</v>
      </c>
      <c r="B5" s="4" t="s">
        <v>283</v>
      </c>
      <c r="C5" s="4" t="s">
        <v>284</v>
      </c>
      <c r="D5" s="7" t="s">
        <v>285</v>
      </c>
      <c r="E5" s="19">
        <v>1</v>
      </c>
      <c r="F5" s="19">
        <v>125000</v>
      </c>
      <c r="G5" s="19">
        <f>IF(OR(E5="",F5=""),"",E5*F5)</f>
      </c>
      <c r="H5" s="4" t="s">
        <v>286</v>
      </c>
    </row>
    <row r="6" ht="32" customHeight="1" spans="1:8" x14ac:dyDescent="0.25">
      <c r="A6" s="20" t="s">
        <v>287</v>
      </c>
      <c r="B6" s="21" t="s">
        <v>288</v>
      </c>
      <c r="C6" s="21" t="s">
        <v>284</v>
      </c>
      <c r="D6" s="22" t="s">
        <v>285</v>
      </c>
      <c r="E6" s="19">
        <v>1</v>
      </c>
      <c r="F6" s="19">
        <v>85000</v>
      </c>
      <c r="G6" s="19">
        <f>IF(OR(E6="",F6=""),"",E6*F6)</f>
      </c>
      <c r="H6" s="21" t="s">
        <v>286</v>
      </c>
    </row>
    <row r="7" ht="32" customHeight="1" spans="1:8" x14ac:dyDescent="0.25">
      <c r="A7" s="18" t="s">
        <v>289</v>
      </c>
      <c r="B7" s="4" t="s">
        <v>290</v>
      </c>
      <c r="C7" s="4" t="s">
        <v>284</v>
      </c>
      <c r="D7" s="7" t="s">
        <v>285</v>
      </c>
      <c r="E7" s="19">
        <v>1</v>
      </c>
      <c r="F7" s="19">
        <v>35000</v>
      </c>
      <c r="G7" s="19">
        <f>IF(OR(E7="",F7=""),"",E7*F7)</f>
      </c>
      <c r="H7" s="4" t="s">
        <v>286</v>
      </c>
    </row>
    <row r="8" ht="32" customHeight="1" spans="1:8" x14ac:dyDescent="0.25">
      <c r="A8" s="20" t="s">
        <v>291</v>
      </c>
      <c r="B8" s="21" t="s">
        <v>292</v>
      </c>
      <c r="C8" s="21" t="s">
        <v>284</v>
      </c>
      <c r="D8" s="22" t="s">
        <v>285</v>
      </c>
      <c r="E8" s="19">
        <v>1</v>
      </c>
      <c r="F8" s="19">
        <v>18000</v>
      </c>
      <c r="G8" s="19">
        <f>IF(OR(E8="",F8=""),"",E8*F8)</f>
      </c>
      <c r="H8" s="21" t="s">
        <v>286</v>
      </c>
    </row>
    <row r="9" ht="32" customHeight="1" spans="1:8" x14ac:dyDescent="0.25">
      <c r="A9" s="18" t="s">
        <v>293</v>
      </c>
      <c r="B9" s="4" t="s">
        <v>294</v>
      </c>
      <c r="C9" s="4" t="s">
        <v>284</v>
      </c>
      <c r="D9" s="7" t="s">
        <v>285</v>
      </c>
      <c r="E9" s="19">
        <v>1</v>
      </c>
      <c r="F9" s="19">
        <v>25000</v>
      </c>
      <c r="G9" s="19">
        <f>IF(OR(E9="",F9=""),"",E9*F9)</f>
      </c>
      <c r="H9" s="4" t="s">
        <v>286</v>
      </c>
    </row>
    <row r="10" ht="19.5" customHeight="1" spans="1:8" x14ac:dyDescent="0.25">
      <c r="A10" s="23" t="s">
        <v>295</v>
      </c>
      <c r="B10"/>
      <c r="C10"/>
      <c r="D10"/>
      <c r="E10"/>
      <c r="F10"/>
      <c r="G10" s="24">
        <f>SUM(G5:G10)</f>
      </c>
      <c r="H10" s="23" t="s">
        <v>296</v>
      </c>
    </row>
    <row r="11" spans="1:1" x14ac:dyDescent="0.25"/>
    <row r="12" ht="19.5" customHeight="1" spans="1:8" x14ac:dyDescent="0.25">
      <c r="A12" s="5" t="s">
        <v>297</v>
      </c>
      <c r="B12"/>
      <c r="C12"/>
      <c r="D12"/>
      <c r="E12"/>
      <c r="F12"/>
      <c r="G12"/>
      <c r="H12"/>
    </row>
    <row r="13" ht="32" customHeight="1" spans="1:8" x14ac:dyDescent="0.25">
      <c r="A13" s="18" t="s">
        <v>298</v>
      </c>
      <c r="B13" s="4" t="s">
        <v>299</v>
      </c>
      <c r="C13" s="4" t="s">
        <v>284</v>
      </c>
      <c r="D13" s="7" t="s">
        <v>285</v>
      </c>
      <c r="E13" s="19">
        <v>1</v>
      </c>
      <c r="F13" s="19">
        <v>85000</v>
      </c>
      <c r="G13" s="19">
        <f>IF(OR(E13="",F13=""),"",E13*F13)</f>
      </c>
      <c r="H13" s="4" t="s">
        <v>286</v>
      </c>
    </row>
    <row r="14" ht="18" customHeight="1" spans="1:8" x14ac:dyDescent="0.25">
      <c r="A14" s="20" t="s">
        <v>300</v>
      </c>
      <c r="B14" s="21" t="s">
        <v>301</v>
      </c>
      <c r="C14" s="21" t="s">
        <v>284</v>
      </c>
      <c r="D14" s="22" t="s">
        <v>285</v>
      </c>
      <c r="E14" s="19">
        <v>1</v>
      </c>
      <c r="F14" s="19">
        <v>45000</v>
      </c>
      <c r="G14" s="19">
        <f>IF(OR(E14="",F14=""),"",E14*F14)</f>
      </c>
      <c r="H14" s="21" t="s">
        <v>286</v>
      </c>
    </row>
    <row r="15" ht="32" customHeight="1" spans="1:8" x14ac:dyDescent="0.25">
      <c r="A15" s="18" t="s">
        <v>302</v>
      </c>
      <c r="B15" s="4" t="s">
        <v>303</v>
      </c>
      <c r="C15" s="4" t="s">
        <v>284</v>
      </c>
      <c r="D15" s="7" t="s">
        <v>285</v>
      </c>
      <c r="E15" s="19">
        <v>1</v>
      </c>
      <c r="F15" s="19">
        <v>18000</v>
      </c>
      <c r="G15" s="19">
        <f>IF(OR(E15="",F15=""),"",E15*F15)</f>
      </c>
      <c r="H15" s="4" t="s">
        <v>286</v>
      </c>
    </row>
    <row r="16" ht="18" customHeight="1" spans="1:8" x14ac:dyDescent="0.25">
      <c r="A16" s="20" t="s">
        <v>304</v>
      </c>
      <c r="B16" s="21" t="s">
        <v>305</v>
      </c>
      <c r="C16" s="21" t="s">
        <v>284</v>
      </c>
      <c r="D16" s="22" t="s">
        <v>285</v>
      </c>
      <c r="E16" s="19">
        <v>1</v>
      </c>
      <c r="F16" s="19">
        <v>12000</v>
      </c>
      <c r="G16" s="19">
        <f>IF(OR(E16="",F16=""),"",E16*F16)</f>
      </c>
      <c r="H16" s="21" t="s">
        <v>286</v>
      </c>
    </row>
    <row r="17" ht="19.5" customHeight="1" spans="1:8" x14ac:dyDescent="0.25">
      <c r="A17" s="23" t="s">
        <v>306</v>
      </c>
      <c r="B17"/>
      <c r="C17"/>
      <c r="D17"/>
      <c r="E17"/>
      <c r="F17"/>
      <c r="G17" s="24">
        <f>SUM(G13:G17)</f>
      </c>
      <c r="H17" s="23" t="s">
        <v>296</v>
      </c>
    </row>
    <row r="18" spans="1:1" x14ac:dyDescent="0.25"/>
    <row r="19" ht="19.5" customHeight="1" spans="1:8" x14ac:dyDescent="0.25">
      <c r="A19" s="5" t="s">
        <v>307</v>
      </c>
      <c r="B19"/>
      <c r="C19"/>
      <c r="D19"/>
      <c r="E19"/>
      <c r="F19"/>
      <c r="G19"/>
      <c r="H19"/>
    </row>
    <row r="20" ht="32" customHeight="1" spans="1:8" x14ac:dyDescent="0.25">
      <c r="A20" s="18" t="s">
        <v>308</v>
      </c>
      <c r="B20" s="4" t="s">
        <v>309</v>
      </c>
      <c r="C20" s="4" t="s">
        <v>284</v>
      </c>
      <c r="D20" s="7" t="s">
        <v>285</v>
      </c>
      <c r="E20" s="19">
        <v>1</v>
      </c>
      <c r="F20" s="19">
        <v>85000</v>
      </c>
      <c r="G20" s="19">
        <f>IF(OR(E20="",F20=""),"",E20*F20)</f>
      </c>
      <c r="H20" s="4" t="s">
        <v>286</v>
      </c>
    </row>
    <row r="21" ht="18" customHeight="1" spans="1:8" x14ac:dyDescent="0.25">
      <c r="A21" s="20" t="s">
        <v>310</v>
      </c>
      <c r="B21" s="21" t="s">
        <v>311</v>
      </c>
      <c r="C21" s="21" t="s">
        <v>284</v>
      </c>
      <c r="D21" s="22" t="s">
        <v>285</v>
      </c>
      <c r="E21" s="19">
        <v>1</v>
      </c>
      <c r="F21" s="19">
        <v>25000</v>
      </c>
      <c r="G21" s="19">
        <f>IF(OR(E21="",F21=""),"",E21*F21)</f>
      </c>
      <c r="H21" s="21" t="s">
        <v>286</v>
      </c>
    </row>
    <row r="22" ht="46" customHeight="1" spans="1:8" x14ac:dyDescent="0.25">
      <c r="A22" s="18" t="s">
        <v>312</v>
      </c>
      <c r="B22" s="4" t="s">
        <v>313</v>
      </c>
      <c r="C22" s="4" t="s">
        <v>284</v>
      </c>
      <c r="D22" s="7" t="s">
        <v>285</v>
      </c>
      <c r="E22" s="19">
        <v>1</v>
      </c>
      <c r="F22" s="19">
        <v>5500</v>
      </c>
      <c r="G22" s="19">
        <f>IF(OR(E22="",F22=""),"",E22*F22)</f>
      </c>
      <c r="H22" s="4" t="s">
        <v>286</v>
      </c>
    </row>
    <row r="23" ht="19.5" customHeight="1" spans="1:8" x14ac:dyDescent="0.25">
      <c r="A23" s="23" t="s">
        <v>314</v>
      </c>
      <c r="B23"/>
      <c r="C23"/>
      <c r="D23"/>
      <c r="E23"/>
      <c r="F23"/>
      <c r="G23" s="24">
        <f>SUM(G20:G23)</f>
      </c>
      <c r="H23" s="23" t="s">
        <v>296</v>
      </c>
    </row>
    <row r="24" spans="1:1" x14ac:dyDescent="0.25"/>
    <row r="25" ht="19.5" customHeight="1" spans="1:8" x14ac:dyDescent="0.25">
      <c r="A25" s="5" t="s">
        <v>315</v>
      </c>
      <c r="B25"/>
      <c r="C25"/>
      <c r="D25"/>
      <c r="E25"/>
      <c r="F25"/>
      <c r="G25"/>
      <c r="H25"/>
    </row>
    <row r="26" ht="18" customHeight="1" spans="1:8" x14ac:dyDescent="0.25">
      <c r="A26" s="18" t="s">
        <v>316</v>
      </c>
      <c r="B26" s="4" t="s">
        <v>317</v>
      </c>
      <c r="C26" s="4" t="s">
        <v>284</v>
      </c>
      <c r="D26" s="7" t="s">
        <v>285</v>
      </c>
      <c r="E26" s="19">
        <v>1</v>
      </c>
      <c r="F26" s="19">
        <v>85000</v>
      </c>
      <c r="G26" s="19">
        <f>IF(OR(E26="",F26=""),"",E26*F26)</f>
      </c>
      <c r="H26" s="4" t="s">
        <v>286</v>
      </c>
    </row>
    <row r="27" ht="32" customHeight="1" spans="1:8" x14ac:dyDescent="0.25">
      <c r="A27" s="20" t="s">
        <v>318</v>
      </c>
      <c r="B27" s="21" t="s">
        <v>319</v>
      </c>
      <c r="C27" s="21" t="s">
        <v>284</v>
      </c>
      <c r="D27" s="22" t="s">
        <v>285</v>
      </c>
      <c r="E27" s="19">
        <v>1</v>
      </c>
      <c r="F27" s="19">
        <v>35000</v>
      </c>
      <c r="G27" s="19">
        <f>IF(OR(E27="",F27=""),"",E27*F27)</f>
      </c>
      <c r="H27" s="21" t="s">
        <v>286</v>
      </c>
    </row>
    <row r="28" ht="18" customHeight="1" spans="1:8" x14ac:dyDescent="0.25">
      <c r="A28" s="18" t="s">
        <v>320</v>
      </c>
      <c r="B28" s="4" t="s">
        <v>321</v>
      </c>
      <c r="C28" s="4" t="s">
        <v>284</v>
      </c>
      <c r="D28" s="7" t="s">
        <v>285</v>
      </c>
      <c r="E28" s="19">
        <v>1</v>
      </c>
      <c r="F28" s="19">
        <v>45000</v>
      </c>
      <c r="G28" s="19">
        <f>IF(OR(E28="",F28=""),"",E28*F28)</f>
      </c>
      <c r="H28" s="4" t="s">
        <v>286</v>
      </c>
    </row>
    <row r="29" ht="32" customHeight="1" spans="1:8" x14ac:dyDescent="0.25">
      <c r="A29" s="20" t="s">
        <v>322</v>
      </c>
      <c r="B29" s="21" t="s">
        <v>323</v>
      </c>
      <c r="C29" s="21" t="s">
        <v>284</v>
      </c>
      <c r="D29" s="22" t="s">
        <v>285</v>
      </c>
      <c r="E29" s="19">
        <v>1</v>
      </c>
      <c r="F29" s="19">
        <v>38000</v>
      </c>
      <c r="G29" s="19">
        <f>IF(OR(E29="",F29=""),"",E29*F29)</f>
      </c>
      <c r="H29" s="21" t="s">
        <v>286</v>
      </c>
    </row>
    <row r="30" ht="32" customHeight="1" spans="1:8" x14ac:dyDescent="0.25">
      <c r="A30" s="18" t="s">
        <v>324</v>
      </c>
      <c r="B30" s="4" t="s">
        <v>325</v>
      </c>
      <c r="C30" s="4" t="s">
        <v>284</v>
      </c>
      <c r="D30" s="7" t="s">
        <v>285</v>
      </c>
      <c r="E30" s="19">
        <v>1</v>
      </c>
      <c r="F30" s="19">
        <v>12000</v>
      </c>
      <c r="G30" s="19">
        <f>IF(OR(E30="",F30=""),"",E30*F30)</f>
      </c>
      <c r="H30" s="4" t="s">
        <v>286</v>
      </c>
    </row>
    <row r="31" ht="19.5" customHeight="1" spans="1:8" x14ac:dyDescent="0.25">
      <c r="A31" s="23" t="s">
        <v>326</v>
      </c>
      <c r="B31"/>
      <c r="C31"/>
      <c r="D31"/>
      <c r="E31"/>
      <c r="F31"/>
      <c r="G31" s="24">
        <f>SUM(G26:G31)</f>
      </c>
      <c r="H31" s="23" t="s">
        <v>296</v>
      </c>
    </row>
    <row r="32" spans="1:1" x14ac:dyDescent="0.25"/>
    <row r="33" ht="19.5" customHeight="1" spans="1:8" x14ac:dyDescent="0.25">
      <c r="A33" s="5" t="s">
        <v>327</v>
      </c>
      <c r="B33"/>
      <c r="C33"/>
      <c r="D33"/>
      <c r="E33"/>
      <c r="F33"/>
      <c r="G33"/>
      <c r="H33"/>
    </row>
    <row r="34" ht="32" customHeight="1" spans="1:8" x14ac:dyDescent="0.25">
      <c r="A34" s="18" t="s">
        <v>328</v>
      </c>
      <c r="B34" s="4" t="s">
        <v>329</v>
      </c>
      <c r="C34" s="4" t="s">
        <v>330</v>
      </c>
      <c r="D34" s="7" t="s">
        <v>285</v>
      </c>
      <c r="E34" s="19">
        <v>1</v>
      </c>
      <c r="F34" s="19">
        <v>350000</v>
      </c>
      <c r="G34" s="19">
        <f>IF(OR(E34="",F34=""),"",E34*F34)</f>
      </c>
      <c r="H34" s="4" t="s">
        <v>331</v>
      </c>
    </row>
    <row r="35" ht="32" customHeight="1" spans="1:8" x14ac:dyDescent="0.25">
      <c r="A35" s="20" t="s">
        <v>332</v>
      </c>
      <c r="B35" s="21" t="s">
        <v>333</v>
      </c>
      <c r="C35" s="21" t="s">
        <v>330</v>
      </c>
      <c r="D35" s="22" t="s">
        <v>285</v>
      </c>
      <c r="E35" s="19">
        <v>1</v>
      </c>
      <c r="F35" s="19">
        <v>8000</v>
      </c>
      <c r="G35" s="19">
        <f>IF(OR(E35="",F35=""),"",E35*F35)</f>
      </c>
      <c r="H35" s="21" t="s">
        <v>331</v>
      </c>
    </row>
    <row r="36" ht="32" customHeight="1" spans="1:8" x14ac:dyDescent="0.25">
      <c r="A36" s="18" t="s">
        <v>334</v>
      </c>
      <c r="B36" s="4" t="s">
        <v>335</v>
      </c>
      <c r="C36" s="4" t="s">
        <v>330</v>
      </c>
      <c r="D36" s="7" t="s">
        <v>285</v>
      </c>
      <c r="E36" s="19">
        <v>1</v>
      </c>
      <c r="F36" s="19">
        <v>12000</v>
      </c>
      <c r="G36" s="19">
        <f>IF(OR(E36="",F36=""),"",E36*F36)</f>
      </c>
      <c r="H36" s="4" t="s">
        <v>331</v>
      </c>
    </row>
    <row r="37" ht="32" customHeight="1" spans="1:8" x14ac:dyDescent="0.25">
      <c r="A37" s="20" t="s">
        <v>336</v>
      </c>
      <c r="B37" s="21" t="s">
        <v>337</v>
      </c>
      <c r="C37" s="21" t="s">
        <v>330</v>
      </c>
      <c r="D37" s="22" t="s">
        <v>285</v>
      </c>
      <c r="E37" s="19">
        <v>1</v>
      </c>
      <c r="F37" s="19">
        <v>45000</v>
      </c>
      <c r="G37" s="19">
        <f>IF(OR(E37="",F37=""),"",E37*F37)</f>
      </c>
      <c r="H37" s="21" t="s">
        <v>331</v>
      </c>
    </row>
    <row r="38" ht="32" customHeight="1" spans="1:8" x14ac:dyDescent="0.25">
      <c r="A38" s="18" t="s">
        <v>338</v>
      </c>
      <c r="B38" s="4" t="s">
        <v>339</v>
      </c>
      <c r="C38" s="4" t="s">
        <v>330</v>
      </c>
      <c r="D38" s="7" t="s">
        <v>285</v>
      </c>
      <c r="E38" s="19">
        <v>1</v>
      </c>
      <c r="F38" s="19">
        <v>18000</v>
      </c>
      <c r="G38" s="19">
        <f>IF(OR(E38="",F38=""),"",E38*F38)</f>
      </c>
      <c r="H38" s="4" t="s">
        <v>331</v>
      </c>
    </row>
    <row r="39" ht="32" customHeight="1" spans="1:8" x14ac:dyDescent="0.25">
      <c r="A39" s="20" t="s">
        <v>340</v>
      </c>
      <c r="B39" s="21" t="s">
        <v>341</v>
      </c>
      <c r="C39" s="21" t="s">
        <v>330</v>
      </c>
      <c r="D39" s="22" t="s">
        <v>285</v>
      </c>
      <c r="E39" s="19">
        <v>1</v>
      </c>
      <c r="F39" s="19">
        <v>12000</v>
      </c>
      <c r="G39" s="19">
        <f>IF(OR(E39="",F39=""),"",E39*F39)</f>
      </c>
      <c r="H39" s="21" t="s">
        <v>331</v>
      </c>
    </row>
    <row r="40" ht="19.5" customHeight="1" spans="1:8" x14ac:dyDescent="0.25">
      <c r="A40" s="23" t="s">
        <v>342</v>
      </c>
      <c r="B40"/>
      <c r="C40"/>
      <c r="D40"/>
      <c r="E40"/>
      <c r="F40"/>
      <c r="G40" s="24">
        <f>SUM(G34:G40)</f>
      </c>
      <c r="H40" s="23" t="s">
        <v>296</v>
      </c>
    </row>
    <row r="41" spans="1:1" x14ac:dyDescent="0.25"/>
    <row r="42" spans="1:1" x14ac:dyDescent="0.25"/>
    <row r="43" ht="24" customHeight="1" spans="1:8" x14ac:dyDescent="0.25">
      <c r="A43" s="25" t="s">
        <v>343</v>
      </c>
      <c r="B43"/>
      <c r="C43"/>
      <c r="D43"/>
      <c r="E43"/>
      <c r="F43"/>
      <c r="G43" s="26">
        <f>SUMIF(G4:G41,"&lt;&gt;")</f>
      </c>
      <c r="H43" s="25" t="s">
        <v>296</v>
      </c>
    </row>
  </sheetData>
  <mergeCells count="13">
    <mergeCell ref="A1:H1"/>
    <mergeCell ref="A2:H2"/>
    <mergeCell ref="A4:H4"/>
    <mergeCell ref="A10:F10"/>
    <mergeCell ref="A12:H12"/>
    <mergeCell ref="A17:F17"/>
    <mergeCell ref="A19:H19"/>
    <mergeCell ref="A23:F23"/>
    <mergeCell ref="A25:H25"/>
    <mergeCell ref="A31:F31"/>
    <mergeCell ref="A33:H33"/>
    <mergeCell ref="A40:F40"/>
    <mergeCell ref="A43:F43"/>
  </mergeCells>
  <printOptions horizontalCentered="1"/>
  <pageMargins left="0.4" right="0.4" top="0.5" bottom="0.5" header="0.3" footer="0.3"/>
  <pageSetup paperSize="9" orientation="portrait" fitToWidth="1" fitToHeight="0"/>
  <headerFooter>
    <oddHeader>&amp;L&amp;"Arial,Bold"&amp;12Proposed B+G+8+R Commercial &amp; Residential Building&amp;R&amp;"Arial,Italic"&amp;10Job FA_P379 / CRs B/010/25</oddHeader>
    <oddFooter>&amp;LBill 1 — GENERAL ITEMS / PRELIMINARIES&amp;RPage &amp;P of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20"/>
  <sheetViews>
    <sheetView workbookViewId="0">
      <pane ySplit="3" topLeftCell="A4" activePane="bottomLeft" state="frozen"/>
      <selection pane="bottomLeft" activeCell="A4" sqref="A4"/>
    </sheetView>
  </sheetViews>
  <sheetFormatPr defaultRowHeight="15" outlineLevelRow="0" outlineLevelCol="0" x14ac:dyDescent="55"/>
  <cols>
    <col min="1" max="1" width="7" customWidth="1"/>
    <col min="2" max="2" width="58" customWidth="1"/>
    <col min="3" max="3" width="22" customWidth="1"/>
    <col min="4" max="4" width="8" customWidth="1"/>
    <col min="6" max="6" width="13" customWidth="1"/>
    <col min="7" max="7" width="16" customWidth="1"/>
    <col min="8" max="8" width="32" customWidth="1"/>
  </cols>
  <sheetData>
    <row r="1" ht="27.75" customHeight="1" spans="1:8" x14ac:dyDescent="0.25">
      <c r="A1" s="1" t="s">
        <v>344</v>
      </c>
      <c r="B1"/>
      <c r="C1"/>
      <c r="D1"/>
      <c r="E1"/>
      <c r="F1"/>
      <c r="G1"/>
      <c r="H1"/>
    </row>
    <row r="2" ht="13.5" customHeight="1" spans="1:8" x14ac:dyDescent="0.25">
      <c r="A2" s="17" t="s">
        <v>273</v>
      </c>
      <c r="B2"/>
      <c r="C2"/>
      <c r="D2"/>
      <c r="E2"/>
      <c r="F2"/>
      <c r="G2"/>
      <c r="H2"/>
    </row>
    <row r="3" ht="27.75" customHeight="1" spans="1:9" x14ac:dyDescent="0.25">
      <c r="A3" s="6" t="s">
        <v>274</v>
      </c>
      <c r="B3" s="6" t="s">
        <v>41</v>
      </c>
      <c r="C3" s="6" t="s">
        <v>275</v>
      </c>
      <c r="D3" s="6" t="s">
        <v>276</v>
      </c>
      <c r="E3" s="6" t="s">
        <v>277</v>
      </c>
      <c r="F3" s="6" t="s">
        <v>278</v>
      </c>
      <c r="G3" s="6" t="s">
        <v>279</v>
      </c>
      <c r="H3" s="6" t="s">
        <v>280</v>
      </c>
    </row>
    <row r="4" ht="19.5" customHeight="1" spans="1:8" x14ac:dyDescent="0.25">
      <c r="A4" s="5" t="s">
        <v>345</v>
      </c>
      <c r="B4"/>
      <c r="C4"/>
      <c r="D4"/>
      <c r="E4"/>
      <c r="F4"/>
      <c r="G4"/>
      <c r="H4"/>
    </row>
    <row r="5" ht="46" customHeight="1" spans="1:8" x14ac:dyDescent="0.25">
      <c r="A5" s="18" t="s">
        <v>346</v>
      </c>
      <c r="B5" s="4" t="s">
        <v>347</v>
      </c>
      <c r="C5" s="4" t="s">
        <v>348</v>
      </c>
      <c r="D5" s="7" t="s">
        <v>349</v>
      </c>
      <c r="E5" s="19">
        <v>1</v>
      </c>
      <c r="F5" s="19">
        <v>0</v>
      </c>
      <c r="G5" s="19">
        <f>IF(OR(E5="",F5=""),"",E5*F5)</f>
      </c>
      <c r="H5" s="4" t="s">
        <v>350</v>
      </c>
    </row>
    <row r="6" ht="96" customHeight="1" spans="1:8" x14ac:dyDescent="0.25">
      <c r="A6" s="20" t="s">
        <v>351</v>
      </c>
      <c r="B6" s="21" t="s">
        <v>352</v>
      </c>
      <c r="C6" s="21" t="s">
        <v>348</v>
      </c>
      <c r="D6" s="22" t="s">
        <v>353</v>
      </c>
      <c r="E6" s="19">
        <v>1</v>
      </c>
      <c r="F6" s="19">
        <v>240000</v>
      </c>
      <c r="G6" s="19">
        <f>IF(OR(E6="",F6=""),"",E6*F6)</f>
      </c>
      <c r="H6" s="21" t="s">
        <v>354</v>
      </c>
    </row>
    <row r="7" ht="46" customHeight="1" spans="1:8" x14ac:dyDescent="0.25">
      <c r="A7" s="18" t="s">
        <v>355</v>
      </c>
      <c r="B7" s="4" t="s">
        <v>356</v>
      </c>
      <c r="C7" s="4" t="s">
        <v>348</v>
      </c>
      <c r="D7" s="7" t="s">
        <v>357</v>
      </c>
      <c r="E7" s="19">
        <v>30</v>
      </c>
      <c r="F7" s="19">
        <v>18000</v>
      </c>
      <c r="G7" s="19">
        <f>IF(OR(E7="",F7=""),"",E7*F7)</f>
      </c>
      <c r="H7" s="4" t="s">
        <v>286</v>
      </c>
    </row>
    <row r="8" ht="46" customHeight="1" spans="1:8" x14ac:dyDescent="0.25">
      <c r="A8" s="20" t="s">
        <v>358</v>
      </c>
      <c r="B8" s="21" t="s">
        <v>359</v>
      </c>
      <c r="C8" s="21" t="s">
        <v>348</v>
      </c>
      <c r="D8" s="22" t="s">
        <v>285</v>
      </c>
      <c r="E8" s="19">
        <v>1</v>
      </c>
      <c r="F8" s="19">
        <v>35000</v>
      </c>
      <c r="G8" s="19">
        <f>IF(OR(E8="",F8=""),"",E8*F8)</f>
      </c>
      <c r="H8" s="21" t="s">
        <v>354</v>
      </c>
    </row>
    <row r="9" ht="19.5" customHeight="1" spans="1:8" x14ac:dyDescent="0.25">
      <c r="A9" s="23" t="s">
        <v>360</v>
      </c>
      <c r="B9"/>
      <c r="C9"/>
      <c r="D9"/>
      <c r="E9"/>
      <c r="F9"/>
      <c r="G9" s="24">
        <f>SUM(G5:G9)</f>
      </c>
      <c r="H9" s="23" t="s">
        <v>296</v>
      </c>
    </row>
    <row r="10" spans="1:1" x14ac:dyDescent="0.25"/>
    <row r="11" ht="19.5" customHeight="1" spans="1:8" x14ac:dyDescent="0.25">
      <c r="A11" s="5" t="s">
        <v>361</v>
      </c>
      <c r="B11"/>
      <c r="C11"/>
      <c r="D11"/>
      <c r="E11"/>
      <c r="F11"/>
      <c r="G11"/>
      <c r="H11"/>
    </row>
    <row r="12" ht="32" customHeight="1" spans="1:8" x14ac:dyDescent="0.25">
      <c r="A12" s="18" t="s">
        <v>362</v>
      </c>
      <c r="B12" s="4" t="s">
        <v>363</v>
      </c>
      <c r="C12" s="4" t="s">
        <v>348</v>
      </c>
      <c r="D12" s="7" t="s">
        <v>353</v>
      </c>
      <c r="E12" s="19">
        <v>1</v>
      </c>
      <c r="F12" s="19"/>
      <c r="G12" s="19">
        <f>IF(OR(E12="",F12=""),"",E12*F12)</f>
      </c>
      <c r="H12" s="4" t="s">
        <v>364</v>
      </c>
    </row>
    <row r="13" ht="19.5" customHeight="1" spans="1:8" x14ac:dyDescent="0.25">
      <c r="A13" s="23" t="s">
        <v>365</v>
      </c>
      <c r="B13"/>
      <c r="C13"/>
      <c r="D13"/>
      <c r="E13"/>
      <c r="F13"/>
      <c r="G13" s="24">
        <f>SUM(G12:G13)</f>
      </c>
      <c r="H13" s="23" t="s">
        <v>296</v>
      </c>
    </row>
    <row r="14" spans="1:1" x14ac:dyDescent="0.25"/>
    <row r="15" ht="19.5" customHeight="1" spans="1:8" x14ac:dyDescent="0.25">
      <c r="A15" s="5" t="s">
        <v>366</v>
      </c>
      <c r="B15"/>
      <c r="C15"/>
      <c r="D15"/>
      <c r="E15"/>
      <c r="F15"/>
      <c r="G15"/>
      <c r="H15"/>
    </row>
    <row r="16" ht="32" customHeight="1" spans="1:8" x14ac:dyDescent="0.25">
      <c r="A16" s="18" t="s">
        <v>367</v>
      </c>
      <c r="B16" s="4" t="s">
        <v>368</v>
      </c>
      <c r="C16" s="4" t="s">
        <v>348</v>
      </c>
      <c r="D16" s="7" t="s">
        <v>369</v>
      </c>
      <c r="E16" s="19">
        <v>1</v>
      </c>
      <c r="F16" s="19">
        <v>80000</v>
      </c>
      <c r="G16" s="19">
        <f>IF(OR(E16="",F16=""),"",E16*F16)</f>
      </c>
      <c r="H16" s="4" t="s">
        <v>370</v>
      </c>
    </row>
    <row r="17" ht="19.5" customHeight="1" spans="1:8" x14ac:dyDescent="0.25">
      <c r="A17" s="23" t="s">
        <v>371</v>
      </c>
      <c r="B17"/>
      <c r="C17"/>
      <c r="D17"/>
      <c r="E17"/>
      <c r="F17"/>
      <c r="G17" s="24">
        <f>SUM(G16:G17)</f>
      </c>
      <c r="H17" s="23" t="s">
        <v>296</v>
      </c>
    </row>
    <row r="18" spans="1:1" x14ac:dyDescent="0.25"/>
    <row r="19" spans="1:1" x14ac:dyDescent="0.25"/>
    <row r="20" ht="24" customHeight="1" spans="1:8" x14ac:dyDescent="0.25">
      <c r="A20" s="25" t="s">
        <v>372</v>
      </c>
      <c r="B20"/>
      <c r="C20"/>
      <c r="D20"/>
      <c r="E20"/>
      <c r="F20"/>
      <c r="G20" s="26">
        <f>SUMIF(G4:G18,"&lt;&gt;")</f>
      </c>
      <c r="H20" s="25" t="s">
        <v>296</v>
      </c>
    </row>
  </sheetData>
  <mergeCells count="9">
    <mergeCell ref="A1:H1"/>
    <mergeCell ref="A2:H2"/>
    <mergeCell ref="A4:H4"/>
    <mergeCell ref="A9:F9"/>
    <mergeCell ref="A11:H11"/>
    <mergeCell ref="A13:F13"/>
    <mergeCell ref="A15:H15"/>
    <mergeCell ref="A17:F17"/>
    <mergeCell ref="A20:F20"/>
  </mergeCells>
  <printOptions horizontalCentered="1"/>
  <pageMargins left="0.4" right="0.4" top="0.5" bottom="0.5" header="0.3" footer="0.3"/>
  <pageSetup paperSize="9" orientation="portrait" fitToWidth="1" fitToHeight="0"/>
  <headerFooter>
    <oddHeader>&amp;L&amp;"Arial,Bold"&amp;12Proposed B+G+8+R Commercial &amp; Residential Building&amp;R&amp;"Arial,Italic"&amp;10Job FA_P379 / CRs B/010/25</oddHeader>
    <oddFooter>&amp;LBill 2 — HV / LV MAIN DISTRIBUTION&amp;RPage &amp;P of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83"/>
  <sheetViews>
    <sheetView workbookViewId="0">
      <pane ySplit="3" topLeftCell="A4" activePane="bottomLeft" state="frozen"/>
      <selection pane="bottomLeft" activeCell="A4" sqref="A4"/>
    </sheetView>
  </sheetViews>
  <sheetFormatPr defaultRowHeight="15" outlineLevelRow="0" outlineLevelCol="0" x14ac:dyDescent="55"/>
  <cols>
    <col min="1" max="1" width="7" customWidth="1"/>
    <col min="2" max="2" width="58" customWidth="1"/>
    <col min="3" max="3" width="22" customWidth="1"/>
    <col min="4" max="4" width="8" customWidth="1"/>
    <col min="6" max="6" width="13" customWidth="1"/>
    <col min="7" max="7" width="16" customWidth="1"/>
    <col min="8" max="8" width="32" customWidth="1"/>
  </cols>
  <sheetData>
    <row r="1" ht="27.75" customHeight="1" spans="1:8" x14ac:dyDescent="0.25">
      <c r="A1" s="1" t="s">
        <v>373</v>
      </c>
      <c r="B1"/>
      <c r="C1"/>
      <c r="D1"/>
      <c r="E1"/>
      <c r="F1"/>
      <c r="G1"/>
      <c r="H1"/>
    </row>
    <row r="2" ht="13.5" customHeight="1" spans="1:8" x14ac:dyDescent="0.25">
      <c r="A2" s="17" t="s">
        <v>273</v>
      </c>
      <c r="B2"/>
      <c r="C2"/>
      <c r="D2"/>
      <c r="E2"/>
      <c r="F2"/>
      <c r="G2"/>
      <c r="H2"/>
    </row>
    <row r="3" ht="27.75" customHeight="1" spans="1:9" x14ac:dyDescent="0.25">
      <c r="A3" s="6" t="s">
        <v>274</v>
      </c>
      <c r="B3" s="6" t="s">
        <v>41</v>
      </c>
      <c r="C3" s="6" t="s">
        <v>275</v>
      </c>
      <c r="D3" s="6" t="s">
        <v>276</v>
      </c>
      <c r="E3" s="6" t="s">
        <v>277</v>
      </c>
      <c r="F3" s="6" t="s">
        <v>278</v>
      </c>
      <c r="G3" s="6" t="s">
        <v>279</v>
      </c>
      <c r="H3" s="6" t="s">
        <v>280</v>
      </c>
    </row>
    <row r="4" ht="19.5" customHeight="1" spans="1:8" x14ac:dyDescent="0.25">
      <c r="A4" s="5" t="s">
        <v>374</v>
      </c>
      <c r="B4"/>
      <c r="C4"/>
      <c r="D4"/>
      <c r="E4"/>
      <c r="F4"/>
      <c r="G4"/>
      <c r="H4"/>
    </row>
    <row r="5" ht="96" customHeight="1" spans="1:8" x14ac:dyDescent="0.25">
      <c r="A5" s="18" t="s">
        <v>375</v>
      </c>
      <c r="B5" s="4" t="s">
        <v>376</v>
      </c>
      <c r="C5" s="4" t="s">
        <v>377</v>
      </c>
      <c r="D5" s="7" t="s">
        <v>353</v>
      </c>
      <c r="E5" s="19">
        <v>1</v>
      </c>
      <c r="F5" s="19">
        <v>32000</v>
      </c>
      <c r="G5" s="19">
        <f>IF(OR(E5="",F5=""),"",E5*F5)</f>
      </c>
      <c r="H5" s="4" t="s">
        <v>378</v>
      </c>
    </row>
    <row r="6" ht="96" customHeight="1" spans="1:8" x14ac:dyDescent="0.25">
      <c r="A6" s="20" t="s">
        <v>379</v>
      </c>
      <c r="B6" s="21" t="s">
        <v>380</v>
      </c>
      <c r="C6" s="21" t="s">
        <v>381</v>
      </c>
      <c r="D6" s="22" t="s">
        <v>353</v>
      </c>
      <c r="E6" s="19">
        <v>1</v>
      </c>
      <c r="F6" s="19">
        <v>32000</v>
      </c>
      <c r="G6" s="19">
        <f>IF(OR(E6="",F6=""),"",E6*F6)</f>
      </c>
      <c r="H6" s="21" t="s">
        <v>378</v>
      </c>
    </row>
    <row r="7" ht="96" customHeight="1" spans="1:8" x14ac:dyDescent="0.25">
      <c r="A7" s="18" t="s">
        <v>382</v>
      </c>
      <c r="B7" s="4" t="s">
        <v>383</v>
      </c>
      <c r="C7" s="4" t="s">
        <v>384</v>
      </c>
      <c r="D7" s="7" t="s">
        <v>353</v>
      </c>
      <c r="E7" s="19">
        <v>1</v>
      </c>
      <c r="F7" s="19">
        <v>32000</v>
      </c>
      <c r="G7" s="19">
        <f>IF(OR(E7="",F7=""),"",E7*F7)</f>
      </c>
      <c r="H7" s="4" t="s">
        <v>378</v>
      </c>
    </row>
    <row r="8" ht="96" customHeight="1" spans="1:8" x14ac:dyDescent="0.25">
      <c r="A8" s="20" t="s">
        <v>385</v>
      </c>
      <c r="B8" s="21" t="s">
        <v>386</v>
      </c>
      <c r="C8" s="21" t="s">
        <v>387</v>
      </c>
      <c r="D8" s="22" t="s">
        <v>353</v>
      </c>
      <c r="E8" s="19">
        <v>1</v>
      </c>
      <c r="F8" s="19">
        <v>32000</v>
      </c>
      <c r="G8" s="19">
        <f>IF(OR(E8="",F8=""),"",E8*F8)</f>
      </c>
      <c r="H8" s="21" t="s">
        <v>378</v>
      </c>
    </row>
    <row r="9" ht="96" customHeight="1" spans="1:8" x14ac:dyDescent="0.25">
      <c r="A9" s="18" t="s">
        <v>388</v>
      </c>
      <c r="B9" s="4" t="s">
        <v>389</v>
      </c>
      <c r="C9" s="4" t="s">
        <v>390</v>
      </c>
      <c r="D9" s="7" t="s">
        <v>353</v>
      </c>
      <c r="E9" s="19">
        <v>1</v>
      </c>
      <c r="F9" s="19">
        <v>32000</v>
      </c>
      <c r="G9" s="19">
        <f>IF(OR(E9="",F9=""),"",E9*F9)</f>
      </c>
      <c r="H9" s="4" t="s">
        <v>378</v>
      </c>
    </row>
    <row r="10" ht="96" customHeight="1" spans="1:8" x14ac:dyDescent="0.25">
      <c r="A10" s="20" t="s">
        <v>391</v>
      </c>
      <c r="B10" s="21" t="s">
        <v>392</v>
      </c>
      <c r="C10" s="21" t="s">
        <v>393</v>
      </c>
      <c r="D10" s="22" t="s">
        <v>353</v>
      </c>
      <c r="E10" s="19">
        <v>1</v>
      </c>
      <c r="F10" s="19">
        <v>32000</v>
      </c>
      <c r="G10" s="19">
        <f>IF(OR(E10="",F10=""),"",E10*F10)</f>
      </c>
      <c r="H10" s="21" t="s">
        <v>378</v>
      </c>
    </row>
    <row r="11" ht="96" customHeight="1" spans="1:8" x14ac:dyDescent="0.25">
      <c r="A11" s="18" t="s">
        <v>394</v>
      </c>
      <c r="B11" s="4" t="s">
        <v>395</v>
      </c>
      <c r="C11" s="4" t="s">
        <v>396</v>
      </c>
      <c r="D11" s="7" t="s">
        <v>353</v>
      </c>
      <c r="E11" s="19">
        <v>1</v>
      </c>
      <c r="F11" s="19">
        <v>32000</v>
      </c>
      <c r="G11" s="19">
        <f>IF(OR(E11="",F11=""),"",E11*F11)</f>
      </c>
      <c r="H11" s="4" t="s">
        <v>378</v>
      </c>
    </row>
    <row r="12" ht="96" customHeight="1" spans="1:8" x14ac:dyDescent="0.25">
      <c r="A12" s="20" t="s">
        <v>397</v>
      </c>
      <c r="B12" s="21" t="s">
        <v>398</v>
      </c>
      <c r="C12" s="21" t="s">
        <v>399</v>
      </c>
      <c r="D12" s="22" t="s">
        <v>353</v>
      </c>
      <c r="E12" s="19">
        <v>1</v>
      </c>
      <c r="F12" s="19">
        <v>32000</v>
      </c>
      <c r="G12" s="19">
        <f>IF(OR(E12="",F12=""),"",E12*F12)</f>
      </c>
      <c r="H12" s="21" t="s">
        <v>378</v>
      </c>
    </row>
    <row r="13" ht="19.5" customHeight="1" spans="1:8" x14ac:dyDescent="0.25">
      <c r="A13" s="23" t="s">
        <v>400</v>
      </c>
      <c r="B13"/>
      <c r="C13"/>
      <c r="D13"/>
      <c r="E13"/>
      <c r="F13"/>
      <c r="G13" s="24">
        <f>SUM(G5:G13)</f>
      </c>
      <c r="H13" s="23" t="s">
        <v>296</v>
      </c>
    </row>
    <row r="14" spans="1:1" x14ac:dyDescent="0.25"/>
    <row r="15" ht="19.5" customHeight="1" spans="1:8" x14ac:dyDescent="0.25">
      <c r="A15" s="5" t="s">
        <v>401</v>
      </c>
      <c r="B15"/>
      <c r="C15"/>
      <c r="D15"/>
      <c r="E15"/>
      <c r="F15"/>
      <c r="G15"/>
      <c r="H15"/>
    </row>
    <row r="16" ht="96" customHeight="1" spans="1:8" x14ac:dyDescent="0.25">
      <c r="A16" s="18" t="s">
        <v>402</v>
      </c>
      <c r="B16" s="4" t="s">
        <v>403</v>
      </c>
      <c r="C16" s="4" t="s">
        <v>404</v>
      </c>
      <c r="D16" s="7" t="s">
        <v>353</v>
      </c>
      <c r="E16" s="19">
        <v>1</v>
      </c>
      <c r="F16" s="19">
        <v>14000</v>
      </c>
      <c r="G16" s="19">
        <f>IF(OR(E16="",F16=""),"",E16*F16)</f>
      </c>
      <c r="H16" s="4" t="s">
        <v>378</v>
      </c>
    </row>
    <row r="17" ht="96" customHeight="1" spans="1:8" x14ac:dyDescent="0.25">
      <c r="A17" s="20" t="s">
        <v>405</v>
      </c>
      <c r="B17" s="21" t="s">
        <v>406</v>
      </c>
      <c r="C17" s="21" t="s">
        <v>407</v>
      </c>
      <c r="D17" s="22" t="s">
        <v>353</v>
      </c>
      <c r="E17" s="19">
        <v>1</v>
      </c>
      <c r="F17" s="19">
        <v>6000</v>
      </c>
      <c r="G17" s="19">
        <f>IF(OR(E17="",F17=""),"",E17*F17)</f>
      </c>
      <c r="H17" s="21" t="s">
        <v>378</v>
      </c>
    </row>
    <row r="18" ht="96" customHeight="1" spans="1:8" x14ac:dyDescent="0.25">
      <c r="A18" s="18" t="s">
        <v>408</v>
      </c>
      <c r="B18" s="4" t="s">
        <v>409</v>
      </c>
      <c r="C18" s="4" t="s">
        <v>407</v>
      </c>
      <c r="D18" s="7" t="s">
        <v>353</v>
      </c>
      <c r="E18" s="19">
        <v>1</v>
      </c>
      <c r="F18" s="19">
        <v>6000</v>
      </c>
      <c r="G18" s="19">
        <f>IF(OR(E18="",F18=""),"",E18*F18)</f>
      </c>
      <c r="H18" s="4" t="s">
        <v>378</v>
      </c>
    </row>
    <row r="19" ht="96" customHeight="1" spans="1:8" x14ac:dyDescent="0.25">
      <c r="A19" s="20" t="s">
        <v>410</v>
      </c>
      <c r="B19" s="21" t="s">
        <v>411</v>
      </c>
      <c r="C19" s="21" t="s">
        <v>407</v>
      </c>
      <c r="D19" s="22" t="s">
        <v>353</v>
      </c>
      <c r="E19" s="19">
        <v>1</v>
      </c>
      <c r="F19" s="19">
        <v>6000</v>
      </c>
      <c r="G19" s="19">
        <f>IF(OR(E19="",F19=""),"",E19*F19)</f>
      </c>
      <c r="H19" s="21" t="s">
        <v>378</v>
      </c>
    </row>
    <row r="20" ht="96" customHeight="1" spans="1:8" x14ac:dyDescent="0.25">
      <c r="A20" s="18" t="s">
        <v>412</v>
      </c>
      <c r="B20" s="4" t="s">
        <v>413</v>
      </c>
      <c r="C20" s="4" t="s">
        <v>407</v>
      </c>
      <c r="D20" s="7" t="s">
        <v>353</v>
      </c>
      <c r="E20" s="19">
        <v>1</v>
      </c>
      <c r="F20" s="19">
        <v>6000</v>
      </c>
      <c r="G20" s="19">
        <f>IF(OR(E20="",F20=""),"",E20*F20)</f>
      </c>
      <c r="H20" s="4" t="s">
        <v>378</v>
      </c>
    </row>
    <row r="21" ht="96" customHeight="1" spans="1:8" x14ac:dyDescent="0.25">
      <c r="A21" s="20" t="s">
        <v>414</v>
      </c>
      <c r="B21" s="21" t="s">
        <v>415</v>
      </c>
      <c r="C21" s="21" t="s">
        <v>407</v>
      </c>
      <c r="D21" s="22" t="s">
        <v>353</v>
      </c>
      <c r="E21" s="19">
        <v>1</v>
      </c>
      <c r="F21" s="19">
        <v>6000</v>
      </c>
      <c r="G21" s="19">
        <f>IF(OR(E21="",F21=""),"",E21*F21)</f>
      </c>
      <c r="H21" s="21" t="s">
        <v>378</v>
      </c>
    </row>
    <row r="22" ht="96" customHeight="1" spans="1:8" x14ac:dyDescent="0.25">
      <c r="A22" s="18" t="s">
        <v>416</v>
      </c>
      <c r="B22" s="4" t="s">
        <v>417</v>
      </c>
      <c r="C22" s="4" t="s">
        <v>407</v>
      </c>
      <c r="D22" s="7" t="s">
        <v>353</v>
      </c>
      <c r="E22" s="19">
        <v>1</v>
      </c>
      <c r="F22" s="19">
        <v>6000</v>
      </c>
      <c r="G22" s="19">
        <f>IF(OR(E22="",F22=""),"",E22*F22)</f>
      </c>
      <c r="H22" s="4" t="s">
        <v>378</v>
      </c>
    </row>
    <row r="23" ht="96" customHeight="1" spans="1:8" x14ac:dyDescent="0.25">
      <c r="A23" s="20" t="s">
        <v>418</v>
      </c>
      <c r="B23" s="21" t="s">
        <v>419</v>
      </c>
      <c r="C23" s="21" t="s">
        <v>407</v>
      </c>
      <c r="D23" s="22" t="s">
        <v>353</v>
      </c>
      <c r="E23" s="19">
        <v>1</v>
      </c>
      <c r="F23" s="19">
        <v>6000</v>
      </c>
      <c r="G23" s="19">
        <f>IF(OR(E23="",F23=""),"",E23*F23)</f>
      </c>
      <c r="H23" s="21" t="s">
        <v>378</v>
      </c>
    </row>
    <row r="24" ht="96" customHeight="1" spans="1:8" x14ac:dyDescent="0.25">
      <c r="A24" s="18" t="s">
        <v>420</v>
      </c>
      <c r="B24" s="4" t="s">
        <v>421</v>
      </c>
      <c r="C24" s="4" t="s">
        <v>407</v>
      </c>
      <c r="D24" s="7" t="s">
        <v>353</v>
      </c>
      <c r="E24" s="19">
        <v>1</v>
      </c>
      <c r="F24" s="19">
        <v>6000</v>
      </c>
      <c r="G24" s="19">
        <f>IF(OR(E24="",F24=""),"",E24*F24)</f>
      </c>
      <c r="H24" s="4" t="s">
        <v>378</v>
      </c>
    </row>
    <row r="25" ht="96" customHeight="1" spans="1:8" x14ac:dyDescent="0.25">
      <c r="A25" s="20" t="s">
        <v>422</v>
      </c>
      <c r="B25" s="21" t="s">
        <v>423</v>
      </c>
      <c r="C25" s="21" t="s">
        <v>407</v>
      </c>
      <c r="D25" s="22" t="s">
        <v>353</v>
      </c>
      <c r="E25" s="19">
        <v>1</v>
      </c>
      <c r="F25" s="19">
        <v>6000</v>
      </c>
      <c r="G25" s="19">
        <f>IF(OR(E25="",F25=""),"",E25*F25)</f>
      </c>
      <c r="H25" s="21" t="s">
        <v>378</v>
      </c>
    </row>
    <row r="26" ht="96" customHeight="1" spans="1:8" x14ac:dyDescent="0.25">
      <c r="A26" s="18" t="s">
        <v>424</v>
      </c>
      <c r="B26" s="4" t="s">
        <v>425</v>
      </c>
      <c r="C26" s="4" t="s">
        <v>407</v>
      </c>
      <c r="D26" s="7" t="s">
        <v>353</v>
      </c>
      <c r="E26" s="19">
        <v>1</v>
      </c>
      <c r="F26" s="19">
        <v>6000</v>
      </c>
      <c r="G26" s="19">
        <f>IF(OR(E26="",F26=""),"",E26*F26)</f>
      </c>
      <c r="H26" s="4" t="s">
        <v>378</v>
      </c>
    </row>
    <row r="27" ht="96" customHeight="1" spans="1:8" x14ac:dyDescent="0.25">
      <c r="A27" s="20" t="s">
        <v>426</v>
      </c>
      <c r="B27" s="21" t="s">
        <v>427</v>
      </c>
      <c r="C27" s="21" t="s">
        <v>407</v>
      </c>
      <c r="D27" s="22" t="s">
        <v>353</v>
      </c>
      <c r="E27" s="19">
        <v>1</v>
      </c>
      <c r="F27" s="19">
        <v>6000</v>
      </c>
      <c r="G27" s="19">
        <f>IF(OR(E27="",F27=""),"",E27*F27)</f>
      </c>
      <c r="H27" s="21" t="s">
        <v>378</v>
      </c>
    </row>
    <row r="28" ht="96" customHeight="1" spans="1:8" x14ac:dyDescent="0.25">
      <c r="A28" s="18" t="s">
        <v>428</v>
      </c>
      <c r="B28" s="4" t="s">
        <v>429</v>
      </c>
      <c r="C28" s="4" t="s">
        <v>407</v>
      </c>
      <c r="D28" s="7" t="s">
        <v>353</v>
      </c>
      <c r="E28" s="19">
        <v>1</v>
      </c>
      <c r="F28" s="19">
        <v>9000</v>
      </c>
      <c r="G28" s="19">
        <f>IF(OR(E28="",F28=""),"",E28*F28)</f>
      </c>
      <c r="H28" s="4" t="s">
        <v>378</v>
      </c>
    </row>
    <row r="29" ht="19.5" customHeight="1" spans="1:8" x14ac:dyDescent="0.25">
      <c r="A29" s="23" t="s">
        <v>430</v>
      </c>
      <c r="B29"/>
      <c r="C29"/>
      <c r="D29"/>
      <c r="E29"/>
      <c r="F29"/>
      <c r="G29" s="24">
        <f>SUM(G16:G29)</f>
      </c>
      <c r="H29" s="23" t="s">
        <v>296</v>
      </c>
    </row>
    <row r="30" spans="1:1" x14ac:dyDescent="0.25"/>
    <row r="31" ht="19.5" customHeight="1" spans="1:8" x14ac:dyDescent="0.25">
      <c r="A31" s="5" t="s">
        <v>431</v>
      </c>
      <c r="B31"/>
      <c r="C31"/>
      <c r="D31"/>
      <c r="E31"/>
      <c r="F31"/>
      <c r="G31"/>
      <c r="H31"/>
    </row>
    <row r="32" ht="96" customHeight="1" spans="1:8" x14ac:dyDescent="0.25">
      <c r="A32" s="18" t="s">
        <v>432</v>
      </c>
      <c r="B32" s="4" t="s">
        <v>433</v>
      </c>
      <c r="C32" s="4" t="s">
        <v>434</v>
      </c>
      <c r="D32" s="7" t="s">
        <v>353</v>
      </c>
      <c r="E32" s="19">
        <v>1</v>
      </c>
      <c r="F32" s="19">
        <v>79200</v>
      </c>
      <c r="G32" s="19">
        <f>IF(OR(E32="",F32=""),"",E32*F32)</f>
      </c>
      <c r="H32" s="4" t="s">
        <v>378</v>
      </c>
    </row>
    <row r="33" ht="19.5" customHeight="1" spans="1:8" x14ac:dyDescent="0.25">
      <c r="A33" s="23" t="s">
        <v>435</v>
      </c>
      <c r="B33"/>
      <c r="C33"/>
      <c r="D33"/>
      <c r="E33"/>
      <c r="F33"/>
      <c r="G33" s="24">
        <f>SUM(G32:G33)</f>
      </c>
      <c r="H33" s="23" t="s">
        <v>296</v>
      </c>
    </row>
    <row r="34" spans="1:1" x14ac:dyDescent="0.25"/>
    <row r="35" ht="19.5" customHeight="1" spans="1:8" x14ac:dyDescent="0.25">
      <c r="A35" s="5" t="s">
        <v>436</v>
      </c>
      <c r="B35"/>
      <c r="C35"/>
      <c r="D35"/>
      <c r="E35"/>
      <c r="F35"/>
      <c r="G35"/>
      <c r="H35"/>
    </row>
    <row r="36" ht="96" customHeight="1" spans="1:8" x14ac:dyDescent="0.25">
      <c r="A36" s="18" t="s">
        <v>437</v>
      </c>
      <c r="B36" s="4" t="s">
        <v>438</v>
      </c>
      <c r="C36" s="4" t="s">
        <v>439</v>
      </c>
      <c r="D36" s="7" t="s">
        <v>353</v>
      </c>
      <c r="E36" s="19">
        <v>1</v>
      </c>
      <c r="F36" s="19">
        <v>16520</v>
      </c>
      <c r="G36" s="19">
        <f>IF(OR(E36="",F36=""),"",E36*F36)</f>
      </c>
      <c r="H36" s="4" t="s">
        <v>378</v>
      </c>
    </row>
    <row r="37" ht="19.5" customHeight="1" spans="1:8" x14ac:dyDescent="0.25">
      <c r="A37" s="23" t="s">
        <v>440</v>
      </c>
      <c r="B37"/>
      <c r="C37"/>
      <c r="D37"/>
      <c r="E37"/>
      <c r="F37"/>
      <c r="G37" s="24">
        <f>SUM(G36:G37)</f>
      </c>
      <c r="H37" s="23" t="s">
        <v>296</v>
      </c>
    </row>
    <row r="38" spans="1:1" x14ac:dyDescent="0.25"/>
    <row r="39" ht="19.5" customHeight="1" spans="1:8" x14ac:dyDescent="0.25">
      <c r="A39" s="5" t="s">
        <v>441</v>
      </c>
      <c r="B39"/>
      <c r="C39"/>
      <c r="D39"/>
      <c r="E39"/>
      <c r="F39"/>
      <c r="G39"/>
      <c r="H39"/>
    </row>
    <row r="40" ht="96" customHeight="1" spans="1:8" x14ac:dyDescent="0.25">
      <c r="A40" s="18" t="s">
        <v>442</v>
      </c>
      <c r="B40" s="4" t="s">
        <v>406</v>
      </c>
      <c r="C40" s="4" t="s">
        <v>407</v>
      </c>
      <c r="D40" s="7" t="s">
        <v>353</v>
      </c>
      <c r="E40" s="19">
        <v>1</v>
      </c>
      <c r="F40" s="19">
        <v>6000</v>
      </c>
      <c r="G40" s="19">
        <f>IF(OR(E40="",F40=""),"",E40*F40)</f>
      </c>
      <c r="H40" s="4" t="s">
        <v>378</v>
      </c>
    </row>
    <row r="41" ht="96" customHeight="1" spans="1:8" x14ac:dyDescent="0.25">
      <c r="A41" s="20" t="s">
        <v>443</v>
      </c>
      <c r="B41" s="21" t="s">
        <v>409</v>
      </c>
      <c r="C41" s="21" t="s">
        <v>407</v>
      </c>
      <c r="D41" s="22" t="s">
        <v>353</v>
      </c>
      <c r="E41" s="19">
        <v>1</v>
      </c>
      <c r="F41" s="19">
        <v>6000</v>
      </c>
      <c r="G41" s="19">
        <f>IF(OR(E41="",F41=""),"",E41*F41)</f>
      </c>
      <c r="H41" s="21" t="s">
        <v>378</v>
      </c>
    </row>
    <row r="42" ht="96" customHeight="1" spans="1:8" x14ac:dyDescent="0.25">
      <c r="A42" s="18" t="s">
        <v>444</v>
      </c>
      <c r="B42" s="4" t="s">
        <v>411</v>
      </c>
      <c r="C42" s="4" t="s">
        <v>407</v>
      </c>
      <c r="D42" s="7" t="s">
        <v>353</v>
      </c>
      <c r="E42" s="19">
        <v>1</v>
      </c>
      <c r="F42" s="19">
        <v>6000</v>
      </c>
      <c r="G42" s="19">
        <f>IF(OR(E42="",F42=""),"",E42*F42)</f>
      </c>
      <c r="H42" s="4" t="s">
        <v>378</v>
      </c>
    </row>
    <row r="43" ht="96" customHeight="1" spans="1:8" x14ac:dyDescent="0.25">
      <c r="A43" s="20" t="s">
        <v>445</v>
      </c>
      <c r="B43" s="21" t="s">
        <v>413</v>
      </c>
      <c r="C43" s="21" t="s">
        <v>407</v>
      </c>
      <c r="D43" s="22" t="s">
        <v>353</v>
      </c>
      <c r="E43" s="19">
        <v>1</v>
      </c>
      <c r="F43" s="19">
        <v>6000</v>
      </c>
      <c r="G43" s="19">
        <f>IF(OR(E43="",F43=""),"",E43*F43)</f>
      </c>
      <c r="H43" s="21" t="s">
        <v>378</v>
      </c>
    </row>
    <row r="44" ht="96" customHeight="1" spans="1:8" x14ac:dyDescent="0.25">
      <c r="A44" s="18" t="s">
        <v>446</v>
      </c>
      <c r="B44" s="4" t="s">
        <v>415</v>
      </c>
      <c r="C44" s="4" t="s">
        <v>407</v>
      </c>
      <c r="D44" s="7" t="s">
        <v>353</v>
      </c>
      <c r="E44" s="19">
        <v>1</v>
      </c>
      <c r="F44" s="19">
        <v>6000</v>
      </c>
      <c r="G44" s="19">
        <f>IF(OR(E44="",F44=""),"",E44*F44)</f>
      </c>
      <c r="H44" s="4" t="s">
        <v>378</v>
      </c>
    </row>
    <row r="45" ht="96" customHeight="1" spans="1:8" x14ac:dyDescent="0.25">
      <c r="A45" s="20" t="s">
        <v>447</v>
      </c>
      <c r="B45" s="21" t="s">
        <v>417</v>
      </c>
      <c r="C45" s="21" t="s">
        <v>407</v>
      </c>
      <c r="D45" s="22" t="s">
        <v>353</v>
      </c>
      <c r="E45" s="19">
        <v>1</v>
      </c>
      <c r="F45" s="19">
        <v>6000</v>
      </c>
      <c r="G45" s="19">
        <f>IF(OR(E45="",F45=""),"",E45*F45)</f>
      </c>
      <c r="H45" s="21" t="s">
        <v>378</v>
      </c>
    </row>
    <row r="46" ht="96" customHeight="1" spans="1:8" x14ac:dyDescent="0.25">
      <c r="A46" s="18" t="s">
        <v>448</v>
      </c>
      <c r="B46" s="4" t="s">
        <v>419</v>
      </c>
      <c r="C46" s="4" t="s">
        <v>407</v>
      </c>
      <c r="D46" s="7" t="s">
        <v>353</v>
      </c>
      <c r="E46" s="19">
        <v>1</v>
      </c>
      <c r="F46" s="19">
        <v>6000</v>
      </c>
      <c r="G46" s="19">
        <f>IF(OR(E46="",F46=""),"",E46*F46)</f>
      </c>
      <c r="H46" s="4" t="s">
        <v>378</v>
      </c>
    </row>
    <row r="47" ht="96" customHeight="1" spans="1:8" x14ac:dyDescent="0.25">
      <c r="A47" s="20" t="s">
        <v>449</v>
      </c>
      <c r="B47" s="21" t="s">
        <v>421</v>
      </c>
      <c r="C47" s="21" t="s">
        <v>407</v>
      </c>
      <c r="D47" s="22" t="s">
        <v>353</v>
      </c>
      <c r="E47" s="19">
        <v>1</v>
      </c>
      <c r="F47" s="19">
        <v>6000</v>
      </c>
      <c r="G47" s="19">
        <f>IF(OR(E47="",F47=""),"",E47*F47)</f>
      </c>
      <c r="H47" s="21" t="s">
        <v>378</v>
      </c>
    </row>
    <row r="48" ht="96" customHeight="1" spans="1:8" x14ac:dyDescent="0.25">
      <c r="A48" s="18" t="s">
        <v>450</v>
      </c>
      <c r="B48" s="4" t="s">
        <v>423</v>
      </c>
      <c r="C48" s="4" t="s">
        <v>407</v>
      </c>
      <c r="D48" s="7" t="s">
        <v>353</v>
      </c>
      <c r="E48" s="19">
        <v>1</v>
      </c>
      <c r="F48" s="19">
        <v>6000</v>
      </c>
      <c r="G48" s="19">
        <f>IF(OR(E48="",F48=""),"",E48*F48)</f>
      </c>
      <c r="H48" s="4" t="s">
        <v>378</v>
      </c>
    </row>
    <row r="49" ht="96" customHeight="1" spans="1:8" x14ac:dyDescent="0.25">
      <c r="A49" s="20" t="s">
        <v>451</v>
      </c>
      <c r="B49" s="21" t="s">
        <v>425</v>
      </c>
      <c r="C49" s="21" t="s">
        <v>407</v>
      </c>
      <c r="D49" s="22" t="s">
        <v>353</v>
      </c>
      <c r="E49" s="19">
        <v>1</v>
      </c>
      <c r="F49" s="19">
        <v>6000</v>
      </c>
      <c r="G49" s="19">
        <f>IF(OR(E49="",F49=""),"",E49*F49)</f>
      </c>
      <c r="H49" s="21" t="s">
        <v>378</v>
      </c>
    </row>
    <row r="50" ht="96" customHeight="1" spans="1:8" x14ac:dyDescent="0.25">
      <c r="A50" s="18" t="s">
        <v>452</v>
      </c>
      <c r="B50" s="4" t="s">
        <v>427</v>
      </c>
      <c r="C50" s="4" t="s">
        <v>407</v>
      </c>
      <c r="D50" s="7" t="s">
        <v>353</v>
      </c>
      <c r="E50" s="19">
        <v>1</v>
      </c>
      <c r="F50" s="19">
        <v>6000</v>
      </c>
      <c r="G50" s="19">
        <f>IF(OR(E50="",F50=""),"",E50*F50)</f>
      </c>
      <c r="H50" s="4" t="s">
        <v>378</v>
      </c>
    </row>
    <row r="51" ht="96" customHeight="1" spans="1:8" x14ac:dyDescent="0.25">
      <c r="A51" s="20" t="s">
        <v>453</v>
      </c>
      <c r="B51" s="21" t="s">
        <v>429</v>
      </c>
      <c r="C51" s="21" t="s">
        <v>407</v>
      </c>
      <c r="D51" s="22" t="s">
        <v>353</v>
      </c>
      <c r="E51" s="19">
        <v>1</v>
      </c>
      <c r="F51" s="19">
        <v>9000</v>
      </c>
      <c r="G51" s="19">
        <f>IF(OR(E51="",F51=""),"",E51*F51)</f>
      </c>
      <c r="H51" s="21" t="s">
        <v>378</v>
      </c>
    </row>
    <row r="52" ht="19.5" customHeight="1" spans="1:8" x14ac:dyDescent="0.25">
      <c r="A52" s="23" t="s">
        <v>454</v>
      </c>
      <c r="B52"/>
      <c r="C52"/>
      <c r="D52"/>
      <c r="E52"/>
      <c r="F52"/>
      <c r="G52" s="24">
        <f>SUM(G40:G52)</f>
      </c>
      <c r="H52" s="23" t="s">
        <v>296</v>
      </c>
    </row>
    <row r="53" spans="1:1" x14ac:dyDescent="0.25"/>
    <row r="54" ht="19.5" customHeight="1" spans="1:8" x14ac:dyDescent="0.25">
      <c r="A54" s="5" t="s">
        <v>455</v>
      </c>
      <c r="B54"/>
      <c r="C54"/>
      <c r="D54"/>
      <c r="E54"/>
      <c r="F54"/>
      <c r="G54"/>
      <c r="H54"/>
    </row>
    <row r="55" ht="96" customHeight="1" spans="1:8" x14ac:dyDescent="0.25">
      <c r="A55" s="18" t="s">
        <v>456</v>
      </c>
      <c r="B55" s="4" t="s">
        <v>376</v>
      </c>
      <c r="C55" s="4" t="s">
        <v>377</v>
      </c>
      <c r="D55" s="7" t="s">
        <v>353</v>
      </c>
      <c r="E55" s="19">
        <v>1</v>
      </c>
      <c r="F55" s="19">
        <v>32000</v>
      </c>
      <c r="G55" s="19">
        <f>IF(OR(E55="",F55=""),"",E55*F55)</f>
      </c>
      <c r="H55" s="4" t="s">
        <v>378</v>
      </c>
    </row>
    <row r="56" ht="96" customHeight="1" spans="1:8" x14ac:dyDescent="0.25">
      <c r="A56" s="20" t="s">
        <v>457</v>
      </c>
      <c r="B56" s="21" t="s">
        <v>380</v>
      </c>
      <c r="C56" s="21" t="s">
        <v>381</v>
      </c>
      <c r="D56" s="22" t="s">
        <v>353</v>
      </c>
      <c r="E56" s="19">
        <v>1</v>
      </c>
      <c r="F56" s="19">
        <v>32000</v>
      </c>
      <c r="G56" s="19">
        <f>IF(OR(E56="",F56=""),"",E56*F56)</f>
      </c>
      <c r="H56" s="21" t="s">
        <v>378</v>
      </c>
    </row>
    <row r="57" ht="96" customHeight="1" spans="1:8" x14ac:dyDescent="0.25">
      <c r="A57" s="18" t="s">
        <v>458</v>
      </c>
      <c r="B57" s="4" t="s">
        <v>383</v>
      </c>
      <c r="C57" s="4" t="s">
        <v>384</v>
      </c>
      <c r="D57" s="7" t="s">
        <v>353</v>
      </c>
      <c r="E57" s="19">
        <v>1</v>
      </c>
      <c r="F57" s="19">
        <v>32000</v>
      </c>
      <c r="G57" s="19">
        <f>IF(OR(E57="",F57=""),"",E57*F57)</f>
      </c>
      <c r="H57" s="4" t="s">
        <v>378</v>
      </c>
    </row>
    <row r="58" ht="96" customHeight="1" spans="1:8" x14ac:dyDescent="0.25">
      <c r="A58" s="20" t="s">
        <v>459</v>
      </c>
      <c r="B58" s="21" t="s">
        <v>386</v>
      </c>
      <c r="C58" s="21" t="s">
        <v>387</v>
      </c>
      <c r="D58" s="22" t="s">
        <v>353</v>
      </c>
      <c r="E58" s="19">
        <v>1</v>
      </c>
      <c r="F58" s="19">
        <v>32000</v>
      </c>
      <c r="G58" s="19">
        <f>IF(OR(E58="",F58=""),"",E58*F58)</f>
      </c>
      <c r="H58" s="21" t="s">
        <v>378</v>
      </c>
    </row>
    <row r="59" ht="96" customHeight="1" spans="1:8" x14ac:dyDescent="0.25">
      <c r="A59" s="18" t="s">
        <v>460</v>
      </c>
      <c r="B59" s="4" t="s">
        <v>389</v>
      </c>
      <c r="C59" s="4" t="s">
        <v>390</v>
      </c>
      <c r="D59" s="7" t="s">
        <v>353</v>
      </c>
      <c r="E59" s="19">
        <v>1</v>
      </c>
      <c r="F59" s="19">
        <v>32000</v>
      </c>
      <c r="G59" s="19">
        <f>IF(OR(E59="",F59=""),"",E59*F59)</f>
      </c>
      <c r="H59" s="4" t="s">
        <v>378</v>
      </c>
    </row>
    <row r="60" ht="96" customHeight="1" spans="1:8" x14ac:dyDescent="0.25">
      <c r="A60" s="20" t="s">
        <v>461</v>
      </c>
      <c r="B60" s="21" t="s">
        <v>392</v>
      </c>
      <c r="C60" s="21" t="s">
        <v>393</v>
      </c>
      <c r="D60" s="22" t="s">
        <v>353</v>
      </c>
      <c r="E60" s="19">
        <v>1</v>
      </c>
      <c r="F60" s="19">
        <v>32000</v>
      </c>
      <c r="G60" s="19">
        <f>IF(OR(E60="",F60=""),"",E60*F60)</f>
      </c>
      <c r="H60" s="21" t="s">
        <v>378</v>
      </c>
    </row>
    <row r="61" ht="96" customHeight="1" spans="1:8" x14ac:dyDescent="0.25">
      <c r="A61" s="18" t="s">
        <v>462</v>
      </c>
      <c r="B61" s="4" t="s">
        <v>395</v>
      </c>
      <c r="C61" s="4" t="s">
        <v>396</v>
      </c>
      <c r="D61" s="7" t="s">
        <v>353</v>
      </c>
      <c r="E61" s="19">
        <v>1</v>
      </c>
      <c r="F61" s="19">
        <v>32000</v>
      </c>
      <c r="G61" s="19">
        <f>IF(OR(E61="",F61=""),"",E61*F61)</f>
      </c>
      <c r="H61" s="4" t="s">
        <v>378</v>
      </c>
    </row>
    <row r="62" ht="96" customHeight="1" spans="1:8" x14ac:dyDescent="0.25">
      <c r="A62" s="20" t="s">
        <v>463</v>
      </c>
      <c r="B62" s="21" t="s">
        <v>398</v>
      </c>
      <c r="C62" s="21" t="s">
        <v>399</v>
      </c>
      <c r="D62" s="22" t="s">
        <v>353</v>
      </c>
      <c r="E62" s="19">
        <v>1</v>
      </c>
      <c r="F62" s="19">
        <v>32000</v>
      </c>
      <c r="G62" s="19">
        <f>IF(OR(E62="",F62=""),"",E62*F62)</f>
      </c>
      <c r="H62" s="21" t="s">
        <v>378</v>
      </c>
    </row>
    <row r="63" ht="96" customHeight="1" spans="1:8" x14ac:dyDescent="0.25">
      <c r="A63" s="18" t="s">
        <v>464</v>
      </c>
      <c r="B63" s="4" t="s">
        <v>433</v>
      </c>
      <c r="C63" s="4" t="s">
        <v>434</v>
      </c>
      <c r="D63" s="7" t="s">
        <v>353</v>
      </c>
      <c r="E63" s="19">
        <v>1</v>
      </c>
      <c r="F63" s="19">
        <v>79200</v>
      </c>
      <c r="G63" s="19">
        <f>IF(OR(E63="",F63=""),"",E63*F63)</f>
      </c>
      <c r="H63" s="4" t="s">
        <v>378</v>
      </c>
    </row>
    <row r="64" ht="96" customHeight="1" spans="1:8" x14ac:dyDescent="0.25">
      <c r="A64" s="20" t="s">
        <v>465</v>
      </c>
      <c r="B64" s="21" t="s">
        <v>403</v>
      </c>
      <c r="C64" s="21" t="s">
        <v>404</v>
      </c>
      <c r="D64" s="22" t="s">
        <v>353</v>
      </c>
      <c r="E64" s="19">
        <v>1</v>
      </c>
      <c r="F64" s="19">
        <v>14000</v>
      </c>
      <c r="G64" s="19">
        <f>IF(OR(E64="",F64=""),"",E64*F64)</f>
      </c>
      <c r="H64" s="21" t="s">
        <v>378</v>
      </c>
    </row>
    <row r="65" ht="96" customHeight="1" spans="1:8" x14ac:dyDescent="0.25">
      <c r="A65" s="18" t="s">
        <v>466</v>
      </c>
      <c r="B65" s="4" t="s">
        <v>438</v>
      </c>
      <c r="C65" s="4" t="s">
        <v>439</v>
      </c>
      <c r="D65" s="7" t="s">
        <v>353</v>
      </c>
      <c r="E65" s="19">
        <v>1</v>
      </c>
      <c r="F65" s="19">
        <v>16520</v>
      </c>
      <c r="G65" s="19">
        <f>IF(OR(E65="",F65=""),"",E65*F65)</f>
      </c>
      <c r="H65" s="4" t="s">
        <v>378</v>
      </c>
    </row>
    <row r="66" ht="96" customHeight="1" spans="1:8" x14ac:dyDescent="0.25">
      <c r="A66" s="20" t="s">
        <v>467</v>
      </c>
      <c r="B66" s="21" t="s">
        <v>406</v>
      </c>
      <c r="C66" s="21" t="s">
        <v>407</v>
      </c>
      <c r="D66" s="22" t="s">
        <v>353</v>
      </c>
      <c r="E66" s="19">
        <v>1</v>
      </c>
      <c r="F66" s="19">
        <v>6000</v>
      </c>
      <c r="G66" s="19">
        <f>IF(OR(E66="",F66=""),"",E66*F66)</f>
      </c>
      <c r="H66" s="21" t="s">
        <v>378</v>
      </c>
    </row>
    <row r="67" ht="96" customHeight="1" spans="1:8" x14ac:dyDescent="0.25">
      <c r="A67" s="18" t="s">
        <v>468</v>
      </c>
      <c r="B67" s="4" t="s">
        <v>409</v>
      </c>
      <c r="C67" s="4" t="s">
        <v>407</v>
      </c>
      <c r="D67" s="7" t="s">
        <v>353</v>
      </c>
      <c r="E67" s="19">
        <v>1</v>
      </c>
      <c r="F67" s="19">
        <v>6000</v>
      </c>
      <c r="G67" s="19">
        <f>IF(OR(E67="",F67=""),"",E67*F67)</f>
      </c>
      <c r="H67" s="4" t="s">
        <v>378</v>
      </c>
    </row>
    <row r="68" ht="96" customHeight="1" spans="1:8" x14ac:dyDescent="0.25">
      <c r="A68" s="20" t="s">
        <v>469</v>
      </c>
      <c r="B68" s="21" t="s">
        <v>411</v>
      </c>
      <c r="C68" s="21" t="s">
        <v>407</v>
      </c>
      <c r="D68" s="22" t="s">
        <v>353</v>
      </c>
      <c r="E68" s="19">
        <v>1</v>
      </c>
      <c r="F68" s="19">
        <v>6000</v>
      </c>
      <c r="G68" s="19">
        <f>IF(OR(E68="",F68=""),"",E68*F68)</f>
      </c>
      <c r="H68" s="21" t="s">
        <v>378</v>
      </c>
    </row>
    <row r="69" ht="96" customHeight="1" spans="1:8" x14ac:dyDescent="0.25">
      <c r="A69" s="18" t="s">
        <v>470</v>
      </c>
      <c r="B69" s="4" t="s">
        <v>413</v>
      </c>
      <c r="C69" s="4" t="s">
        <v>407</v>
      </c>
      <c r="D69" s="7" t="s">
        <v>353</v>
      </c>
      <c r="E69" s="19">
        <v>1</v>
      </c>
      <c r="F69" s="19">
        <v>6000</v>
      </c>
      <c r="G69" s="19">
        <f>IF(OR(E69="",F69=""),"",E69*F69)</f>
      </c>
      <c r="H69" s="4" t="s">
        <v>378</v>
      </c>
    </row>
    <row r="70" ht="96" customHeight="1" spans="1:8" x14ac:dyDescent="0.25">
      <c r="A70" s="20" t="s">
        <v>471</v>
      </c>
      <c r="B70" s="21" t="s">
        <v>415</v>
      </c>
      <c r="C70" s="21" t="s">
        <v>407</v>
      </c>
      <c r="D70" s="22" t="s">
        <v>353</v>
      </c>
      <c r="E70" s="19">
        <v>1</v>
      </c>
      <c r="F70" s="19">
        <v>6000</v>
      </c>
      <c r="G70" s="19">
        <f>IF(OR(E70="",F70=""),"",E70*F70)</f>
      </c>
      <c r="H70" s="21" t="s">
        <v>378</v>
      </c>
    </row>
    <row r="71" ht="96" customHeight="1" spans="1:8" x14ac:dyDescent="0.25">
      <c r="A71" s="18" t="s">
        <v>472</v>
      </c>
      <c r="B71" s="4" t="s">
        <v>417</v>
      </c>
      <c r="C71" s="4" t="s">
        <v>407</v>
      </c>
      <c r="D71" s="7" t="s">
        <v>353</v>
      </c>
      <c r="E71" s="19">
        <v>1</v>
      </c>
      <c r="F71" s="19">
        <v>6000</v>
      </c>
      <c r="G71" s="19">
        <f>IF(OR(E71="",F71=""),"",E71*F71)</f>
      </c>
      <c r="H71" s="4" t="s">
        <v>378</v>
      </c>
    </row>
    <row r="72" ht="96" customHeight="1" spans="1:8" x14ac:dyDescent="0.25">
      <c r="A72" s="20" t="s">
        <v>473</v>
      </c>
      <c r="B72" s="21" t="s">
        <v>419</v>
      </c>
      <c r="C72" s="21" t="s">
        <v>407</v>
      </c>
      <c r="D72" s="22" t="s">
        <v>353</v>
      </c>
      <c r="E72" s="19">
        <v>1</v>
      </c>
      <c r="F72" s="19">
        <v>6000</v>
      </c>
      <c r="G72" s="19">
        <f>IF(OR(E72="",F72=""),"",E72*F72)</f>
      </c>
      <c r="H72" s="21" t="s">
        <v>378</v>
      </c>
    </row>
    <row r="73" ht="96" customHeight="1" spans="1:8" x14ac:dyDescent="0.25">
      <c r="A73" s="18" t="s">
        <v>474</v>
      </c>
      <c r="B73" s="4" t="s">
        <v>421</v>
      </c>
      <c r="C73" s="4" t="s">
        <v>407</v>
      </c>
      <c r="D73" s="7" t="s">
        <v>353</v>
      </c>
      <c r="E73" s="19">
        <v>1</v>
      </c>
      <c r="F73" s="19">
        <v>6000</v>
      </c>
      <c r="G73" s="19">
        <f>IF(OR(E73="",F73=""),"",E73*F73)</f>
      </c>
      <c r="H73" s="4" t="s">
        <v>378</v>
      </c>
    </row>
    <row r="74" ht="96" customHeight="1" spans="1:8" x14ac:dyDescent="0.25">
      <c r="A74" s="20" t="s">
        <v>475</v>
      </c>
      <c r="B74" s="21" t="s">
        <v>423</v>
      </c>
      <c r="C74" s="21" t="s">
        <v>407</v>
      </c>
      <c r="D74" s="22" t="s">
        <v>353</v>
      </c>
      <c r="E74" s="19">
        <v>1</v>
      </c>
      <c r="F74" s="19">
        <v>6000</v>
      </c>
      <c r="G74" s="19">
        <f>IF(OR(E74="",F74=""),"",E74*F74)</f>
      </c>
      <c r="H74" s="21" t="s">
        <v>378</v>
      </c>
    </row>
    <row r="75" ht="96" customHeight="1" spans="1:8" x14ac:dyDescent="0.25">
      <c r="A75" s="18" t="s">
        <v>476</v>
      </c>
      <c r="B75" s="4" t="s">
        <v>425</v>
      </c>
      <c r="C75" s="4" t="s">
        <v>407</v>
      </c>
      <c r="D75" s="7" t="s">
        <v>353</v>
      </c>
      <c r="E75" s="19">
        <v>1</v>
      </c>
      <c r="F75" s="19">
        <v>6000</v>
      </c>
      <c r="G75" s="19">
        <f>IF(OR(E75="",F75=""),"",E75*F75)</f>
      </c>
      <c r="H75" s="4" t="s">
        <v>378</v>
      </c>
    </row>
    <row r="76" ht="96" customHeight="1" spans="1:8" x14ac:dyDescent="0.25">
      <c r="A76" s="20" t="s">
        <v>477</v>
      </c>
      <c r="B76" s="21" t="s">
        <v>427</v>
      </c>
      <c r="C76" s="21" t="s">
        <v>407</v>
      </c>
      <c r="D76" s="22" t="s">
        <v>353</v>
      </c>
      <c r="E76" s="19">
        <v>1</v>
      </c>
      <c r="F76" s="19">
        <v>6000</v>
      </c>
      <c r="G76" s="19">
        <f>IF(OR(E76="",F76=""),"",E76*F76)</f>
      </c>
      <c r="H76" s="21" t="s">
        <v>378</v>
      </c>
    </row>
    <row r="77" ht="96" customHeight="1" spans="1:8" x14ac:dyDescent="0.25">
      <c r="A77" s="18" t="s">
        <v>478</v>
      </c>
      <c r="B77" s="4" t="s">
        <v>429</v>
      </c>
      <c r="C77" s="4" t="s">
        <v>407</v>
      </c>
      <c r="D77" s="7" t="s">
        <v>353</v>
      </c>
      <c r="E77" s="19">
        <v>1</v>
      </c>
      <c r="F77" s="19">
        <v>9000</v>
      </c>
      <c r="G77" s="19">
        <f>IF(OR(E77="",F77=""),"",E77*F77)</f>
      </c>
      <c r="H77" s="4" t="s">
        <v>378</v>
      </c>
    </row>
    <row r="78" ht="96" customHeight="1" spans="1:8" x14ac:dyDescent="0.25">
      <c r="A78" s="20" t="s">
        <v>479</v>
      </c>
      <c r="B78" s="21" t="s">
        <v>480</v>
      </c>
      <c r="C78" s="21" t="s">
        <v>404</v>
      </c>
      <c r="D78" s="22" t="s">
        <v>353</v>
      </c>
      <c r="E78" s="19">
        <v>1</v>
      </c>
      <c r="F78" s="19">
        <v>36800</v>
      </c>
      <c r="G78" s="19">
        <f>IF(OR(E78="",F78=""),"",E78*F78)</f>
      </c>
      <c r="H78" s="21" t="s">
        <v>378</v>
      </c>
    </row>
    <row r="79" ht="96" customHeight="1" spans="1:8" x14ac:dyDescent="0.25">
      <c r="A79" s="18" t="s">
        <v>481</v>
      </c>
      <c r="B79" s="4" t="s">
        <v>482</v>
      </c>
      <c r="C79" s="4" t="s">
        <v>434</v>
      </c>
      <c r="D79" s="7" t="s">
        <v>353</v>
      </c>
      <c r="E79" s="19">
        <v>1</v>
      </c>
      <c r="F79" s="19">
        <v>26565</v>
      </c>
      <c r="G79" s="19">
        <f>IF(OR(E79="",F79=""),"",E79*F79)</f>
      </c>
      <c r="H79" s="4" t="s">
        <v>378</v>
      </c>
    </row>
    <row r="80" ht="19.5" customHeight="1" spans="1:8" x14ac:dyDescent="0.25">
      <c r="A80" s="23" t="s">
        <v>483</v>
      </c>
      <c r="B80"/>
      <c r="C80"/>
      <c r="D80"/>
      <c r="E80"/>
      <c r="F80"/>
      <c r="G80" s="24">
        <f>SUM(G55:G80)</f>
      </c>
      <c r="H80" s="23" t="s">
        <v>296</v>
      </c>
    </row>
    <row r="81" spans="1:1" x14ac:dyDescent="0.25"/>
    <row r="82" spans="1:1" x14ac:dyDescent="0.25"/>
    <row r="83" ht="24" customHeight="1" spans="1:8" x14ac:dyDescent="0.25">
      <c r="A83" s="25" t="s">
        <v>484</v>
      </c>
      <c r="B83"/>
      <c r="C83"/>
      <c r="D83"/>
      <c r="E83"/>
      <c r="F83"/>
      <c r="G83" s="26">
        <f>SUMIF(G4:G81,"&lt;&gt;")</f>
      </c>
      <c r="H83" s="25" t="s">
        <v>296</v>
      </c>
    </row>
  </sheetData>
  <mergeCells count="15">
    <mergeCell ref="A1:H1"/>
    <mergeCell ref="A2:H2"/>
    <mergeCell ref="A4:H4"/>
    <mergeCell ref="A13:F13"/>
    <mergeCell ref="A15:H15"/>
    <mergeCell ref="A29:F29"/>
    <mergeCell ref="A31:H31"/>
    <mergeCell ref="A33:F33"/>
    <mergeCell ref="A35:H35"/>
    <mergeCell ref="A37:F37"/>
    <mergeCell ref="A39:H39"/>
    <mergeCell ref="A52:F52"/>
    <mergeCell ref="A54:H54"/>
    <mergeCell ref="A80:F80"/>
    <mergeCell ref="A83:F83"/>
  </mergeCells>
  <printOptions horizontalCentered="1"/>
  <pageMargins left="0.4" right="0.4" top="0.5" bottom="0.5" header="0.3" footer="0.3"/>
  <pageSetup paperSize="9" orientation="portrait" fitToWidth="1" fitToHeight="0"/>
  <headerFooter>
    <oddHeader>&amp;L&amp;"Arial,Bold"&amp;12Proposed B+G+8+R Commercial &amp; Residential Building&amp;R&amp;"Arial,Italic"&amp;10Job FA_P379 / CRs B/010/25</oddHeader>
    <oddFooter>&amp;LBill 3 — SUB-MAIN DISTRIBUTION BOARDS (SMDBs)&amp;RPage &amp;P of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64"/>
  <sheetViews>
    <sheetView workbookViewId="0">
      <pane ySplit="3" topLeftCell="A4" activePane="bottomLeft" state="frozen"/>
      <selection pane="bottomLeft" activeCell="A4" sqref="A4"/>
    </sheetView>
  </sheetViews>
  <sheetFormatPr defaultRowHeight="15" outlineLevelRow="0" outlineLevelCol="0" x14ac:dyDescent="55"/>
  <cols>
    <col min="1" max="1" width="7" customWidth="1"/>
    <col min="2" max="2" width="58" customWidth="1"/>
    <col min="3" max="3" width="22" customWidth="1"/>
    <col min="4" max="4" width="8" customWidth="1"/>
    <col min="6" max="6" width="13" customWidth="1"/>
    <col min="7" max="7" width="16" customWidth="1"/>
    <col min="8" max="8" width="32" customWidth="1"/>
  </cols>
  <sheetData>
    <row r="1" ht="27.75" customHeight="1" spans="1:8" x14ac:dyDescent="0.25">
      <c r="A1" s="1" t="s">
        <v>485</v>
      </c>
      <c r="B1"/>
      <c r="C1"/>
      <c r="D1"/>
      <c r="E1"/>
      <c r="F1"/>
      <c r="G1"/>
      <c r="H1"/>
    </row>
    <row r="2" ht="13.5" customHeight="1" spans="1:8" x14ac:dyDescent="0.25">
      <c r="A2" s="17" t="s">
        <v>273</v>
      </c>
      <c r="B2"/>
      <c r="C2"/>
      <c r="D2"/>
      <c r="E2"/>
      <c r="F2"/>
      <c r="G2"/>
      <c r="H2"/>
    </row>
    <row r="3" ht="27.75" customHeight="1" spans="1:9" x14ac:dyDescent="0.25">
      <c r="A3" s="6" t="s">
        <v>274</v>
      </c>
      <c r="B3" s="6" t="s">
        <v>41</v>
      </c>
      <c r="C3" s="6" t="s">
        <v>275</v>
      </c>
      <c r="D3" s="6" t="s">
        <v>276</v>
      </c>
      <c r="E3" s="6" t="s">
        <v>277</v>
      </c>
      <c r="F3" s="6" t="s">
        <v>278</v>
      </c>
      <c r="G3" s="6" t="s">
        <v>279</v>
      </c>
      <c r="H3" s="6" t="s">
        <v>280</v>
      </c>
    </row>
    <row r="4" ht="19.5" customHeight="1" spans="1:8" x14ac:dyDescent="0.25">
      <c r="A4" s="5" t="s">
        <v>486</v>
      </c>
      <c r="B4"/>
      <c r="C4"/>
      <c r="D4"/>
      <c r="E4"/>
      <c r="F4"/>
      <c r="G4"/>
      <c r="H4"/>
    </row>
    <row r="5" ht="32" customHeight="1" spans="1:8" x14ac:dyDescent="0.25">
      <c r="A5" s="18" t="s">
        <v>487</v>
      </c>
      <c r="B5" s="4" t="s">
        <v>488</v>
      </c>
      <c r="C5" s="4" t="s">
        <v>489</v>
      </c>
      <c r="D5" s="7" t="s">
        <v>353</v>
      </c>
      <c r="E5" s="19">
        <v>1</v>
      </c>
      <c r="F5" s="19">
        <v>9000</v>
      </c>
      <c r="G5" s="19">
        <f>IF(OR(E5="",F5=""),"",E5*F5)</f>
      </c>
      <c r="H5" s="4" t="s">
        <v>378</v>
      </c>
    </row>
    <row r="6" ht="32" customHeight="1" spans="1:8" x14ac:dyDescent="0.25">
      <c r="A6" s="20" t="s">
        <v>490</v>
      </c>
      <c r="B6" s="21" t="s">
        <v>491</v>
      </c>
      <c r="C6" s="21" t="s">
        <v>489</v>
      </c>
      <c r="D6" s="22" t="s">
        <v>353</v>
      </c>
      <c r="E6" s="19">
        <v>1</v>
      </c>
      <c r="F6" s="19">
        <v>6000</v>
      </c>
      <c r="G6" s="19">
        <f>IF(OR(E6="",F6=""),"",E6*F6)</f>
      </c>
      <c r="H6" s="21" t="s">
        <v>378</v>
      </c>
    </row>
    <row r="7" ht="32" customHeight="1" spans="1:8" x14ac:dyDescent="0.25">
      <c r="A7" s="18" t="s">
        <v>492</v>
      </c>
      <c r="B7" s="4" t="s">
        <v>493</v>
      </c>
      <c r="C7" s="4" t="s">
        <v>489</v>
      </c>
      <c r="D7" s="7" t="s">
        <v>353</v>
      </c>
      <c r="E7" s="19">
        <v>1</v>
      </c>
      <c r="F7" s="19">
        <v>6000</v>
      </c>
      <c r="G7" s="19">
        <f>IF(OR(E7="",F7=""),"",E7*F7)</f>
      </c>
      <c r="H7" s="4" t="s">
        <v>378</v>
      </c>
    </row>
    <row r="8" ht="32" customHeight="1" spans="1:8" x14ac:dyDescent="0.25">
      <c r="A8" s="20" t="s">
        <v>494</v>
      </c>
      <c r="B8" s="21" t="s">
        <v>495</v>
      </c>
      <c r="C8" s="21" t="s">
        <v>489</v>
      </c>
      <c r="D8" s="22" t="s">
        <v>353</v>
      </c>
      <c r="E8" s="19">
        <v>1</v>
      </c>
      <c r="F8" s="19">
        <v>6000</v>
      </c>
      <c r="G8" s="19">
        <f>IF(OR(E8="",F8=""),"",E8*F8)</f>
      </c>
      <c r="H8" s="21" t="s">
        <v>378</v>
      </c>
    </row>
    <row r="9" ht="32" customHeight="1" spans="1:8" x14ac:dyDescent="0.25">
      <c r="A9" s="18" t="s">
        <v>496</v>
      </c>
      <c r="B9" s="4" t="s">
        <v>497</v>
      </c>
      <c r="C9" s="4" t="s">
        <v>498</v>
      </c>
      <c r="D9" s="7" t="s">
        <v>353</v>
      </c>
      <c r="E9" s="19">
        <v>1</v>
      </c>
      <c r="F9" s="19">
        <v>6000</v>
      </c>
      <c r="G9" s="19">
        <f>IF(OR(E9="",F9=""),"",E9*F9)</f>
      </c>
      <c r="H9" s="4" t="s">
        <v>378</v>
      </c>
    </row>
    <row r="10" ht="32" customHeight="1" spans="1:8" x14ac:dyDescent="0.25">
      <c r="A10" s="20" t="s">
        <v>499</v>
      </c>
      <c r="B10" s="21" t="s">
        <v>500</v>
      </c>
      <c r="C10" s="21" t="s">
        <v>498</v>
      </c>
      <c r="D10" s="22" t="s">
        <v>353</v>
      </c>
      <c r="E10" s="19">
        <v>1</v>
      </c>
      <c r="F10" s="19">
        <v>6000</v>
      </c>
      <c r="G10" s="19">
        <f>IF(OR(E10="",F10=""),"",E10*F10)</f>
      </c>
      <c r="H10" s="21" t="s">
        <v>378</v>
      </c>
    </row>
    <row r="11" ht="32" customHeight="1" spans="1:8" x14ac:dyDescent="0.25">
      <c r="A11" s="18" t="s">
        <v>501</v>
      </c>
      <c r="B11" s="4" t="s">
        <v>502</v>
      </c>
      <c r="C11" s="4" t="s">
        <v>498</v>
      </c>
      <c r="D11" s="7" t="s">
        <v>353</v>
      </c>
      <c r="E11" s="19">
        <v>1</v>
      </c>
      <c r="F11" s="19">
        <v>6000</v>
      </c>
      <c r="G11" s="19">
        <f>IF(OR(E11="",F11=""),"",E11*F11)</f>
      </c>
      <c r="H11" s="4" t="s">
        <v>378</v>
      </c>
    </row>
    <row r="12" ht="32" customHeight="1" spans="1:8" x14ac:dyDescent="0.25">
      <c r="A12" s="20" t="s">
        <v>503</v>
      </c>
      <c r="B12" s="21" t="s">
        <v>504</v>
      </c>
      <c r="C12" s="21" t="s">
        <v>505</v>
      </c>
      <c r="D12" s="22" t="s">
        <v>353</v>
      </c>
      <c r="E12" s="19">
        <v>1</v>
      </c>
      <c r="F12" s="19">
        <v>6900</v>
      </c>
      <c r="G12" s="19">
        <f>IF(OR(E12="",F12=""),"",E12*F12)</f>
      </c>
      <c r="H12" s="21" t="s">
        <v>378</v>
      </c>
    </row>
    <row r="13" ht="32" customHeight="1" spans="1:8" x14ac:dyDescent="0.25">
      <c r="A13" s="18" t="s">
        <v>506</v>
      </c>
      <c r="B13" s="4" t="s">
        <v>507</v>
      </c>
      <c r="C13" s="4" t="s">
        <v>505</v>
      </c>
      <c r="D13" s="7" t="s">
        <v>353</v>
      </c>
      <c r="E13" s="19">
        <v>1</v>
      </c>
      <c r="F13" s="19">
        <v>6900</v>
      </c>
      <c r="G13" s="19">
        <f>IF(OR(E13="",F13=""),"",E13*F13)</f>
      </c>
      <c r="H13" s="4" t="s">
        <v>378</v>
      </c>
    </row>
    <row r="14" ht="32" customHeight="1" spans="1:8" x14ac:dyDescent="0.25">
      <c r="A14" s="20" t="s">
        <v>508</v>
      </c>
      <c r="B14" s="21" t="s">
        <v>509</v>
      </c>
      <c r="C14" s="21" t="s">
        <v>505</v>
      </c>
      <c r="D14" s="22" t="s">
        <v>353</v>
      </c>
      <c r="E14" s="19">
        <v>1</v>
      </c>
      <c r="F14" s="19">
        <v>6900</v>
      </c>
      <c r="G14" s="19">
        <f>IF(OR(E14="",F14=""),"",E14*F14)</f>
      </c>
      <c r="H14" s="21" t="s">
        <v>378</v>
      </c>
    </row>
    <row r="15" ht="32" customHeight="1" spans="1:8" x14ac:dyDescent="0.25">
      <c r="A15" s="18" t="s">
        <v>510</v>
      </c>
      <c r="B15" s="4" t="s">
        <v>511</v>
      </c>
      <c r="C15" s="4" t="s">
        <v>505</v>
      </c>
      <c r="D15" s="7" t="s">
        <v>353</v>
      </c>
      <c r="E15" s="19">
        <v>1</v>
      </c>
      <c r="F15" s="19">
        <v>6900</v>
      </c>
      <c r="G15" s="19">
        <f>IF(OR(E15="",F15=""),"",E15*F15)</f>
      </c>
      <c r="H15" s="4" t="s">
        <v>378</v>
      </c>
    </row>
    <row r="16" ht="32" customHeight="1" spans="1:8" x14ac:dyDescent="0.25">
      <c r="A16" s="20" t="s">
        <v>512</v>
      </c>
      <c r="B16" s="21" t="s">
        <v>513</v>
      </c>
      <c r="C16" s="21" t="s">
        <v>498</v>
      </c>
      <c r="D16" s="22" t="s">
        <v>353</v>
      </c>
      <c r="E16" s="19">
        <v>1</v>
      </c>
      <c r="F16" s="19">
        <v>6900</v>
      </c>
      <c r="G16" s="19">
        <f>IF(OR(E16="",F16=""),"",E16*F16)</f>
      </c>
      <c r="H16" s="21" t="s">
        <v>378</v>
      </c>
    </row>
    <row r="17" ht="32" customHeight="1" spans="1:8" x14ac:dyDescent="0.25">
      <c r="A17" s="18" t="s">
        <v>514</v>
      </c>
      <c r="B17" s="4" t="s">
        <v>515</v>
      </c>
      <c r="C17" s="4" t="s">
        <v>498</v>
      </c>
      <c r="D17" s="7" t="s">
        <v>353</v>
      </c>
      <c r="E17" s="19">
        <v>1</v>
      </c>
      <c r="F17" s="19">
        <v>6900</v>
      </c>
      <c r="G17" s="19">
        <f>IF(OR(E17="",F17=""),"",E17*F17)</f>
      </c>
      <c r="H17" s="4" t="s">
        <v>378</v>
      </c>
    </row>
    <row r="18" ht="32" customHeight="1" spans="1:8" x14ac:dyDescent="0.25">
      <c r="A18" s="20" t="s">
        <v>516</v>
      </c>
      <c r="B18" s="21" t="s">
        <v>517</v>
      </c>
      <c r="C18" s="21" t="s">
        <v>498</v>
      </c>
      <c r="D18" s="22" t="s">
        <v>353</v>
      </c>
      <c r="E18" s="19">
        <v>1</v>
      </c>
      <c r="F18" s="19">
        <v>6900</v>
      </c>
      <c r="G18" s="19">
        <f>IF(OR(E18="",F18=""),"",E18*F18)</f>
      </c>
      <c r="H18" s="21" t="s">
        <v>378</v>
      </c>
    </row>
    <row r="19" ht="32" customHeight="1" spans="1:8" x14ac:dyDescent="0.25">
      <c r="A19" s="18" t="s">
        <v>518</v>
      </c>
      <c r="B19" s="4" t="s">
        <v>519</v>
      </c>
      <c r="C19" s="4" t="s">
        <v>489</v>
      </c>
      <c r="D19" s="7" t="s">
        <v>353</v>
      </c>
      <c r="E19" s="19">
        <v>1</v>
      </c>
      <c r="F19" s="19">
        <v>6000</v>
      </c>
      <c r="G19" s="19">
        <f>IF(OR(E19="",F19=""),"",E19*F19)</f>
      </c>
      <c r="H19" s="4" t="s">
        <v>378</v>
      </c>
    </row>
    <row r="20" ht="32" customHeight="1" spans="1:8" x14ac:dyDescent="0.25">
      <c r="A20" s="20" t="s">
        <v>520</v>
      </c>
      <c r="B20" s="21" t="s">
        <v>521</v>
      </c>
      <c r="C20" s="21" t="s">
        <v>489</v>
      </c>
      <c r="D20" s="22" t="s">
        <v>353</v>
      </c>
      <c r="E20" s="19">
        <v>1</v>
      </c>
      <c r="F20" s="19">
        <v>6000</v>
      </c>
      <c r="G20" s="19">
        <f>IF(OR(E20="",F20=""),"",E20*F20)</f>
      </c>
      <c r="H20" s="21" t="s">
        <v>378</v>
      </c>
    </row>
    <row r="21" ht="32" customHeight="1" spans="1:8" x14ac:dyDescent="0.25">
      <c r="A21" s="18" t="s">
        <v>522</v>
      </c>
      <c r="B21" s="4" t="s">
        <v>523</v>
      </c>
      <c r="C21" s="4" t="s">
        <v>489</v>
      </c>
      <c r="D21" s="7" t="s">
        <v>353</v>
      </c>
      <c r="E21" s="19">
        <v>1</v>
      </c>
      <c r="F21" s="19">
        <v>6000</v>
      </c>
      <c r="G21" s="19">
        <f>IF(OR(E21="",F21=""),"",E21*F21)</f>
      </c>
      <c r="H21" s="4" t="s">
        <v>378</v>
      </c>
    </row>
    <row r="22" ht="32" customHeight="1" spans="1:8" x14ac:dyDescent="0.25">
      <c r="A22" s="20" t="s">
        <v>524</v>
      </c>
      <c r="B22" s="21" t="s">
        <v>525</v>
      </c>
      <c r="C22" s="21" t="s">
        <v>489</v>
      </c>
      <c r="D22" s="22" t="s">
        <v>353</v>
      </c>
      <c r="E22" s="19">
        <v>1</v>
      </c>
      <c r="F22" s="19">
        <v>6000</v>
      </c>
      <c r="G22" s="19">
        <f>IF(OR(E22="",F22=""),"",E22*F22)</f>
      </c>
      <c r="H22" s="21" t="s">
        <v>378</v>
      </c>
    </row>
    <row r="23" ht="32" customHeight="1" spans="1:8" x14ac:dyDescent="0.25">
      <c r="A23" s="18" t="s">
        <v>526</v>
      </c>
      <c r="B23" s="4" t="s">
        <v>527</v>
      </c>
      <c r="C23" s="4" t="s">
        <v>489</v>
      </c>
      <c r="D23" s="7" t="s">
        <v>353</v>
      </c>
      <c r="E23" s="19">
        <v>1</v>
      </c>
      <c r="F23" s="19">
        <v>6000</v>
      </c>
      <c r="G23" s="19">
        <f>IF(OR(E23="",F23=""),"",E23*F23)</f>
      </c>
      <c r="H23" s="4" t="s">
        <v>378</v>
      </c>
    </row>
    <row r="24" ht="32" customHeight="1" spans="1:8" x14ac:dyDescent="0.25">
      <c r="A24" s="20" t="s">
        <v>528</v>
      </c>
      <c r="B24" s="21" t="s">
        <v>529</v>
      </c>
      <c r="C24" s="21" t="s">
        <v>489</v>
      </c>
      <c r="D24" s="22" t="s">
        <v>353</v>
      </c>
      <c r="E24" s="19">
        <v>1</v>
      </c>
      <c r="F24" s="19">
        <v>6000</v>
      </c>
      <c r="G24" s="19">
        <f>IF(OR(E24="",F24=""),"",E24*F24)</f>
      </c>
      <c r="H24" s="21" t="s">
        <v>378</v>
      </c>
    </row>
    <row r="25" ht="32" customHeight="1" spans="1:8" x14ac:dyDescent="0.25">
      <c r="A25" s="18" t="s">
        <v>530</v>
      </c>
      <c r="B25" s="4" t="s">
        <v>531</v>
      </c>
      <c r="C25" s="4" t="s">
        <v>489</v>
      </c>
      <c r="D25" s="7" t="s">
        <v>353</v>
      </c>
      <c r="E25" s="19">
        <v>1</v>
      </c>
      <c r="F25" s="19">
        <v>6000</v>
      </c>
      <c r="G25" s="19">
        <f>IF(OR(E25="",F25=""),"",E25*F25)</f>
      </c>
      <c r="H25" s="4" t="s">
        <v>378</v>
      </c>
    </row>
    <row r="26" ht="32" customHeight="1" spans="1:8" x14ac:dyDescent="0.25">
      <c r="A26" s="20" t="s">
        <v>532</v>
      </c>
      <c r="B26" s="21" t="s">
        <v>533</v>
      </c>
      <c r="C26" s="21" t="s">
        <v>489</v>
      </c>
      <c r="D26" s="22" t="s">
        <v>353</v>
      </c>
      <c r="E26" s="19">
        <v>1</v>
      </c>
      <c r="F26" s="19">
        <v>6000</v>
      </c>
      <c r="G26" s="19">
        <f>IF(OR(E26="",F26=""),"",E26*F26)</f>
      </c>
      <c r="H26" s="21" t="s">
        <v>378</v>
      </c>
    </row>
    <row r="27" ht="32" customHeight="1" spans="1:8" x14ac:dyDescent="0.25">
      <c r="A27" s="18" t="s">
        <v>534</v>
      </c>
      <c r="B27" s="4" t="s">
        <v>535</v>
      </c>
      <c r="C27" s="4" t="s">
        <v>489</v>
      </c>
      <c r="D27" s="7" t="s">
        <v>353</v>
      </c>
      <c r="E27" s="19">
        <v>1</v>
      </c>
      <c r="F27" s="19">
        <v>6000</v>
      </c>
      <c r="G27" s="19">
        <f>IF(OR(E27="",F27=""),"",E27*F27)</f>
      </c>
      <c r="H27" s="4" t="s">
        <v>378</v>
      </c>
    </row>
    <row r="28" ht="32" customHeight="1" spans="1:8" x14ac:dyDescent="0.25">
      <c r="A28" s="20" t="s">
        <v>536</v>
      </c>
      <c r="B28" s="21" t="s">
        <v>537</v>
      </c>
      <c r="C28" s="21" t="s">
        <v>489</v>
      </c>
      <c r="D28" s="22" t="s">
        <v>353</v>
      </c>
      <c r="E28" s="19">
        <v>1</v>
      </c>
      <c r="F28" s="19">
        <v>6000</v>
      </c>
      <c r="G28" s="19">
        <f>IF(OR(E28="",F28=""),"",E28*F28)</f>
      </c>
      <c r="H28" s="21" t="s">
        <v>378</v>
      </c>
    </row>
    <row r="29" ht="32" customHeight="1" spans="1:8" x14ac:dyDescent="0.25">
      <c r="A29" s="18" t="s">
        <v>538</v>
      </c>
      <c r="B29" s="4" t="s">
        <v>539</v>
      </c>
      <c r="C29" s="4" t="s">
        <v>489</v>
      </c>
      <c r="D29" s="7" t="s">
        <v>353</v>
      </c>
      <c r="E29" s="19">
        <v>1</v>
      </c>
      <c r="F29" s="19">
        <v>6000</v>
      </c>
      <c r="G29" s="19">
        <f>IF(OR(E29="",F29=""),"",E29*F29)</f>
      </c>
      <c r="H29" s="4" t="s">
        <v>378</v>
      </c>
    </row>
    <row r="30" ht="32" customHeight="1" spans="1:8" x14ac:dyDescent="0.25">
      <c r="A30" s="20" t="s">
        <v>540</v>
      </c>
      <c r="B30" s="21" t="s">
        <v>541</v>
      </c>
      <c r="C30" s="21" t="s">
        <v>489</v>
      </c>
      <c r="D30" s="22" t="s">
        <v>353</v>
      </c>
      <c r="E30" s="19">
        <v>1</v>
      </c>
      <c r="F30" s="19">
        <v>6000</v>
      </c>
      <c r="G30" s="19">
        <f>IF(OR(E30="",F30=""),"",E30*F30)</f>
      </c>
      <c r="H30" s="21" t="s">
        <v>378</v>
      </c>
    </row>
    <row r="31" ht="32" customHeight="1" spans="1:8" x14ac:dyDescent="0.25">
      <c r="A31" s="18" t="s">
        <v>542</v>
      </c>
      <c r="B31" s="4" t="s">
        <v>543</v>
      </c>
      <c r="C31" s="4" t="s">
        <v>489</v>
      </c>
      <c r="D31" s="7" t="s">
        <v>353</v>
      </c>
      <c r="E31" s="19">
        <v>1</v>
      </c>
      <c r="F31" s="19">
        <v>6000</v>
      </c>
      <c r="G31" s="19">
        <f>IF(OR(E31="",F31=""),"",E31*F31)</f>
      </c>
      <c r="H31" s="4" t="s">
        <v>378</v>
      </c>
    </row>
    <row r="32" ht="32" customHeight="1" spans="1:8" x14ac:dyDescent="0.25">
      <c r="A32" s="20" t="s">
        <v>544</v>
      </c>
      <c r="B32" s="21" t="s">
        <v>545</v>
      </c>
      <c r="C32" s="21" t="s">
        <v>489</v>
      </c>
      <c r="D32" s="22" t="s">
        <v>353</v>
      </c>
      <c r="E32" s="19">
        <v>1</v>
      </c>
      <c r="F32" s="19">
        <v>6000</v>
      </c>
      <c r="G32" s="19">
        <f>IF(OR(E32="",F32=""),"",E32*F32)</f>
      </c>
      <c r="H32" s="21" t="s">
        <v>378</v>
      </c>
    </row>
    <row r="33" ht="32" customHeight="1" spans="1:8" x14ac:dyDescent="0.25">
      <c r="A33" s="18" t="s">
        <v>546</v>
      </c>
      <c r="B33" s="4" t="s">
        <v>547</v>
      </c>
      <c r="C33" s="4" t="s">
        <v>489</v>
      </c>
      <c r="D33" s="7" t="s">
        <v>353</v>
      </c>
      <c r="E33" s="19">
        <v>1</v>
      </c>
      <c r="F33" s="19">
        <v>6000</v>
      </c>
      <c r="G33" s="19">
        <f>IF(OR(E33="",F33=""),"",E33*F33)</f>
      </c>
      <c r="H33" s="4" t="s">
        <v>378</v>
      </c>
    </row>
    <row r="34" ht="32" customHeight="1" spans="1:8" x14ac:dyDescent="0.25">
      <c r="A34" s="20" t="s">
        <v>548</v>
      </c>
      <c r="B34" s="21" t="s">
        <v>549</v>
      </c>
      <c r="C34" s="21" t="s">
        <v>489</v>
      </c>
      <c r="D34" s="22" t="s">
        <v>353</v>
      </c>
      <c r="E34" s="19">
        <v>1</v>
      </c>
      <c r="F34" s="19">
        <v>6000</v>
      </c>
      <c r="G34" s="19">
        <f>IF(OR(E34="",F34=""),"",E34*F34)</f>
      </c>
      <c r="H34" s="21" t="s">
        <v>378</v>
      </c>
    </row>
    <row r="35" ht="32" customHeight="1" spans="1:8" x14ac:dyDescent="0.25">
      <c r="A35" s="18" t="s">
        <v>550</v>
      </c>
      <c r="B35" s="4" t="s">
        <v>551</v>
      </c>
      <c r="C35" s="4" t="s">
        <v>489</v>
      </c>
      <c r="D35" s="7" t="s">
        <v>353</v>
      </c>
      <c r="E35" s="19">
        <v>1</v>
      </c>
      <c r="F35" s="19">
        <v>6000</v>
      </c>
      <c r="G35" s="19">
        <f>IF(OR(E35="",F35=""),"",E35*F35)</f>
      </c>
      <c r="H35" s="4" t="s">
        <v>378</v>
      </c>
    </row>
    <row r="36" ht="32" customHeight="1" spans="1:8" x14ac:dyDescent="0.25">
      <c r="A36" s="20" t="s">
        <v>552</v>
      </c>
      <c r="B36" s="21" t="s">
        <v>553</v>
      </c>
      <c r="C36" s="21" t="s">
        <v>489</v>
      </c>
      <c r="D36" s="22" t="s">
        <v>353</v>
      </c>
      <c r="E36" s="19">
        <v>1</v>
      </c>
      <c r="F36" s="19">
        <v>6000</v>
      </c>
      <c r="G36" s="19">
        <f>IF(OR(E36="",F36=""),"",E36*F36)</f>
      </c>
      <c r="H36" s="21" t="s">
        <v>378</v>
      </c>
    </row>
    <row r="37" ht="32" customHeight="1" spans="1:8" x14ac:dyDescent="0.25">
      <c r="A37" s="18" t="s">
        <v>554</v>
      </c>
      <c r="B37" s="4" t="s">
        <v>555</v>
      </c>
      <c r="C37" s="4" t="s">
        <v>489</v>
      </c>
      <c r="D37" s="7" t="s">
        <v>353</v>
      </c>
      <c r="E37" s="19">
        <v>1</v>
      </c>
      <c r="F37" s="19">
        <v>6000</v>
      </c>
      <c r="G37" s="19">
        <f>IF(OR(E37="",F37=""),"",E37*F37)</f>
      </c>
      <c r="H37" s="4" t="s">
        <v>378</v>
      </c>
    </row>
    <row r="38" ht="32" customHeight="1" spans="1:8" x14ac:dyDescent="0.25">
      <c r="A38" s="20" t="s">
        <v>556</v>
      </c>
      <c r="B38" s="21" t="s">
        <v>557</v>
      </c>
      <c r="C38" s="21" t="s">
        <v>489</v>
      </c>
      <c r="D38" s="22" t="s">
        <v>353</v>
      </c>
      <c r="E38" s="19">
        <v>1</v>
      </c>
      <c r="F38" s="19">
        <v>6000</v>
      </c>
      <c r="G38" s="19">
        <f>IF(OR(E38="",F38=""),"",E38*F38)</f>
      </c>
      <c r="H38" s="21" t="s">
        <v>378</v>
      </c>
    </row>
    <row r="39" ht="32" customHeight="1" spans="1:8" x14ac:dyDescent="0.25">
      <c r="A39" s="18" t="s">
        <v>558</v>
      </c>
      <c r="B39" s="4" t="s">
        <v>559</v>
      </c>
      <c r="C39" s="4" t="s">
        <v>489</v>
      </c>
      <c r="D39" s="7" t="s">
        <v>353</v>
      </c>
      <c r="E39" s="19">
        <v>1</v>
      </c>
      <c r="F39" s="19">
        <v>6000</v>
      </c>
      <c r="G39" s="19">
        <f>IF(OR(E39="",F39=""),"",E39*F39)</f>
      </c>
      <c r="H39" s="4" t="s">
        <v>378</v>
      </c>
    </row>
    <row r="40" ht="32" customHeight="1" spans="1:8" x14ac:dyDescent="0.25">
      <c r="A40" s="20" t="s">
        <v>560</v>
      </c>
      <c r="B40" s="21" t="s">
        <v>561</v>
      </c>
      <c r="C40" s="21" t="s">
        <v>489</v>
      </c>
      <c r="D40" s="22" t="s">
        <v>353</v>
      </c>
      <c r="E40" s="19">
        <v>1</v>
      </c>
      <c r="F40" s="19">
        <v>6000</v>
      </c>
      <c r="G40" s="19">
        <f>IF(OR(E40="",F40=""),"",E40*F40)</f>
      </c>
      <c r="H40" s="21" t="s">
        <v>378</v>
      </c>
    </row>
    <row r="41" ht="32" customHeight="1" spans="1:8" x14ac:dyDescent="0.25">
      <c r="A41" s="18" t="s">
        <v>562</v>
      </c>
      <c r="B41" s="4" t="s">
        <v>563</v>
      </c>
      <c r="C41" s="4" t="s">
        <v>489</v>
      </c>
      <c r="D41" s="7" t="s">
        <v>353</v>
      </c>
      <c r="E41" s="19">
        <v>1</v>
      </c>
      <c r="F41" s="19">
        <v>6000</v>
      </c>
      <c r="G41" s="19">
        <f>IF(OR(E41="",F41=""),"",E41*F41)</f>
      </c>
      <c r="H41" s="4" t="s">
        <v>378</v>
      </c>
    </row>
    <row r="42" ht="32" customHeight="1" spans="1:8" x14ac:dyDescent="0.25">
      <c r="A42" s="20" t="s">
        <v>564</v>
      </c>
      <c r="B42" s="21" t="s">
        <v>565</v>
      </c>
      <c r="C42" s="21" t="s">
        <v>489</v>
      </c>
      <c r="D42" s="22" t="s">
        <v>353</v>
      </c>
      <c r="E42" s="19">
        <v>1</v>
      </c>
      <c r="F42" s="19">
        <v>6000</v>
      </c>
      <c r="G42" s="19">
        <f>IF(OR(E42="",F42=""),"",E42*F42)</f>
      </c>
      <c r="H42" s="21" t="s">
        <v>378</v>
      </c>
    </row>
    <row r="43" ht="32" customHeight="1" spans="1:8" x14ac:dyDescent="0.25">
      <c r="A43" s="18" t="s">
        <v>566</v>
      </c>
      <c r="B43" s="4" t="s">
        <v>567</v>
      </c>
      <c r="C43" s="4" t="s">
        <v>489</v>
      </c>
      <c r="D43" s="7" t="s">
        <v>353</v>
      </c>
      <c r="E43" s="19">
        <v>1</v>
      </c>
      <c r="F43" s="19">
        <v>6000</v>
      </c>
      <c r="G43" s="19">
        <f>IF(OR(E43="",F43=""),"",E43*F43)</f>
      </c>
      <c r="H43" s="4" t="s">
        <v>378</v>
      </c>
    </row>
    <row r="44" ht="32" customHeight="1" spans="1:8" x14ac:dyDescent="0.25">
      <c r="A44" s="20" t="s">
        <v>568</v>
      </c>
      <c r="B44" s="21" t="s">
        <v>569</v>
      </c>
      <c r="C44" s="21" t="s">
        <v>489</v>
      </c>
      <c r="D44" s="22" t="s">
        <v>353</v>
      </c>
      <c r="E44" s="19">
        <v>1</v>
      </c>
      <c r="F44" s="19">
        <v>6000</v>
      </c>
      <c r="G44" s="19">
        <f>IF(OR(E44="",F44=""),"",E44*F44)</f>
      </c>
      <c r="H44" s="21" t="s">
        <v>378</v>
      </c>
    </row>
    <row r="45" ht="32" customHeight="1" spans="1:8" x14ac:dyDescent="0.25">
      <c r="A45" s="18" t="s">
        <v>570</v>
      </c>
      <c r="B45" s="4" t="s">
        <v>571</v>
      </c>
      <c r="C45" s="4" t="s">
        <v>489</v>
      </c>
      <c r="D45" s="7" t="s">
        <v>353</v>
      </c>
      <c r="E45" s="19">
        <v>1</v>
      </c>
      <c r="F45" s="19">
        <v>6000</v>
      </c>
      <c r="G45" s="19">
        <f>IF(OR(E45="",F45=""),"",E45*F45)</f>
      </c>
      <c r="H45" s="4" t="s">
        <v>378</v>
      </c>
    </row>
    <row r="46" ht="32" customHeight="1" spans="1:8" x14ac:dyDescent="0.25">
      <c r="A46" s="20" t="s">
        <v>572</v>
      </c>
      <c r="B46" s="21" t="s">
        <v>573</v>
      </c>
      <c r="C46" s="21" t="s">
        <v>489</v>
      </c>
      <c r="D46" s="22" t="s">
        <v>353</v>
      </c>
      <c r="E46" s="19">
        <v>1</v>
      </c>
      <c r="F46" s="19">
        <v>6000</v>
      </c>
      <c r="G46" s="19">
        <f>IF(OR(E46="",F46=""),"",E46*F46)</f>
      </c>
      <c r="H46" s="21" t="s">
        <v>378</v>
      </c>
    </row>
    <row r="47" ht="32" customHeight="1" spans="1:8" x14ac:dyDescent="0.25">
      <c r="A47" s="18" t="s">
        <v>574</v>
      </c>
      <c r="B47" s="4" t="s">
        <v>575</v>
      </c>
      <c r="C47" s="4" t="s">
        <v>489</v>
      </c>
      <c r="D47" s="7" t="s">
        <v>353</v>
      </c>
      <c r="E47" s="19">
        <v>1</v>
      </c>
      <c r="F47" s="19">
        <v>6000</v>
      </c>
      <c r="G47" s="19">
        <f>IF(OR(E47="",F47=""),"",E47*F47)</f>
      </c>
      <c r="H47" s="4" t="s">
        <v>378</v>
      </c>
    </row>
    <row r="48" ht="32" customHeight="1" spans="1:8" x14ac:dyDescent="0.25">
      <c r="A48" s="20" t="s">
        <v>576</v>
      </c>
      <c r="B48" s="21" t="s">
        <v>577</v>
      </c>
      <c r="C48" s="21" t="s">
        <v>489</v>
      </c>
      <c r="D48" s="22" t="s">
        <v>353</v>
      </c>
      <c r="E48" s="19">
        <v>1</v>
      </c>
      <c r="F48" s="19">
        <v>6000</v>
      </c>
      <c r="G48" s="19">
        <f>IF(OR(E48="",F48=""),"",E48*F48)</f>
      </c>
      <c r="H48" s="21" t="s">
        <v>378</v>
      </c>
    </row>
    <row r="49" ht="32" customHeight="1" spans="1:8" x14ac:dyDescent="0.25">
      <c r="A49" s="18" t="s">
        <v>578</v>
      </c>
      <c r="B49" s="4" t="s">
        <v>579</v>
      </c>
      <c r="C49" s="4" t="s">
        <v>489</v>
      </c>
      <c r="D49" s="7" t="s">
        <v>353</v>
      </c>
      <c r="E49" s="19">
        <v>1</v>
      </c>
      <c r="F49" s="19">
        <v>12000</v>
      </c>
      <c r="G49" s="19">
        <f>IF(OR(E49="",F49=""),"",E49*F49)</f>
      </c>
      <c r="H49" s="4" t="s">
        <v>378</v>
      </c>
    </row>
    <row r="50" ht="32" customHeight="1" spans="1:8" x14ac:dyDescent="0.25">
      <c r="A50" s="20" t="s">
        <v>580</v>
      </c>
      <c r="B50" s="21" t="s">
        <v>581</v>
      </c>
      <c r="C50" s="21" t="s">
        <v>489</v>
      </c>
      <c r="D50" s="22" t="s">
        <v>353</v>
      </c>
      <c r="E50" s="19">
        <v>1</v>
      </c>
      <c r="F50" s="19">
        <v>12000</v>
      </c>
      <c r="G50" s="19">
        <f>IF(OR(E50="",F50=""),"",E50*F50)</f>
      </c>
      <c r="H50" s="21" t="s">
        <v>378</v>
      </c>
    </row>
    <row r="51" ht="32" customHeight="1" spans="1:8" x14ac:dyDescent="0.25">
      <c r="A51" s="18" t="s">
        <v>582</v>
      </c>
      <c r="B51" s="4" t="s">
        <v>583</v>
      </c>
      <c r="C51" s="4" t="s">
        <v>489</v>
      </c>
      <c r="D51" s="7" t="s">
        <v>353</v>
      </c>
      <c r="E51" s="19">
        <v>1</v>
      </c>
      <c r="F51" s="19">
        <v>12000</v>
      </c>
      <c r="G51" s="19">
        <f>IF(OR(E51="",F51=""),"",E51*F51)</f>
      </c>
      <c r="H51" s="4" t="s">
        <v>378</v>
      </c>
    </row>
    <row r="52" ht="32" customHeight="1" spans="1:8" x14ac:dyDescent="0.25">
      <c r="A52" s="20" t="s">
        <v>584</v>
      </c>
      <c r="B52" s="21" t="s">
        <v>585</v>
      </c>
      <c r="C52" s="21" t="s">
        <v>489</v>
      </c>
      <c r="D52" s="22" t="s">
        <v>353</v>
      </c>
      <c r="E52" s="19">
        <v>1</v>
      </c>
      <c r="F52" s="19">
        <v>12000</v>
      </c>
      <c r="G52" s="19">
        <f>IF(OR(E52="",F52=""),"",E52*F52)</f>
      </c>
      <c r="H52" s="21" t="s">
        <v>378</v>
      </c>
    </row>
    <row r="53" ht="32" customHeight="1" spans="1:8" x14ac:dyDescent="0.25">
      <c r="A53" s="18" t="s">
        <v>586</v>
      </c>
      <c r="B53" s="4" t="s">
        <v>587</v>
      </c>
      <c r="C53" s="4" t="s">
        <v>489</v>
      </c>
      <c r="D53" s="7" t="s">
        <v>353</v>
      </c>
      <c r="E53" s="19">
        <v>1</v>
      </c>
      <c r="F53" s="19">
        <v>12000</v>
      </c>
      <c r="G53" s="19">
        <f>IF(OR(E53="",F53=""),"",E53*F53)</f>
      </c>
      <c r="H53" s="4" t="s">
        <v>378</v>
      </c>
    </row>
    <row r="54" ht="32" customHeight="1" spans="1:8" x14ac:dyDescent="0.25">
      <c r="A54" s="20" t="s">
        <v>588</v>
      </c>
      <c r="B54" s="21" t="s">
        <v>589</v>
      </c>
      <c r="C54" s="21" t="s">
        <v>489</v>
      </c>
      <c r="D54" s="22" t="s">
        <v>353</v>
      </c>
      <c r="E54" s="19">
        <v>1</v>
      </c>
      <c r="F54" s="19">
        <v>12000</v>
      </c>
      <c r="G54" s="19">
        <f>IF(OR(E54="",F54=""),"",E54*F54)</f>
      </c>
      <c r="H54" s="21" t="s">
        <v>378</v>
      </c>
    </row>
    <row r="55" ht="32" customHeight="1" spans="1:8" x14ac:dyDescent="0.25">
      <c r="A55" s="18" t="s">
        <v>590</v>
      </c>
      <c r="B55" s="4" t="s">
        <v>591</v>
      </c>
      <c r="C55" s="4" t="s">
        <v>489</v>
      </c>
      <c r="D55" s="7" t="s">
        <v>353</v>
      </c>
      <c r="E55" s="19">
        <v>1</v>
      </c>
      <c r="F55" s="19">
        <v>12000</v>
      </c>
      <c r="G55" s="19">
        <f>IF(OR(E55="",F55=""),"",E55*F55)</f>
      </c>
      <c r="H55" s="4" t="s">
        <v>378</v>
      </c>
    </row>
    <row r="56" ht="32" customHeight="1" spans="1:8" x14ac:dyDescent="0.25">
      <c r="A56" s="20" t="s">
        <v>592</v>
      </c>
      <c r="B56" s="21" t="s">
        <v>593</v>
      </c>
      <c r="C56" s="21" t="s">
        <v>489</v>
      </c>
      <c r="D56" s="22" t="s">
        <v>353</v>
      </c>
      <c r="E56" s="19">
        <v>1</v>
      </c>
      <c r="F56" s="19">
        <v>12000</v>
      </c>
      <c r="G56" s="19">
        <f>IF(OR(E56="",F56=""),"",E56*F56)</f>
      </c>
      <c r="H56" s="21" t="s">
        <v>378</v>
      </c>
    </row>
    <row r="57" ht="32" customHeight="1" spans="1:8" x14ac:dyDescent="0.25">
      <c r="A57" s="18" t="s">
        <v>594</v>
      </c>
      <c r="B57" s="4" t="s">
        <v>595</v>
      </c>
      <c r="C57" s="4" t="s">
        <v>489</v>
      </c>
      <c r="D57" s="7" t="s">
        <v>353</v>
      </c>
      <c r="E57" s="19">
        <v>1</v>
      </c>
      <c r="F57" s="19">
        <v>12000</v>
      </c>
      <c r="G57" s="19">
        <f>IF(OR(E57="",F57=""),"",E57*F57)</f>
      </c>
      <c r="H57" s="4" t="s">
        <v>378</v>
      </c>
    </row>
    <row r="58" ht="32" customHeight="1" spans="1:8" x14ac:dyDescent="0.25">
      <c r="A58" s="20" t="s">
        <v>596</v>
      </c>
      <c r="B58" s="21" t="s">
        <v>597</v>
      </c>
      <c r="C58" s="21" t="s">
        <v>489</v>
      </c>
      <c r="D58" s="22" t="s">
        <v>353</v>
      </c>
      <c r="E58" s="19">
        <v>1</v>
      </c>
      <c r="F58" s="19">
        <v>12000</v>
      </c>
      <c r="G58" s="19">
        <f>IF(OR(E58="",F58=""),"",E58*F58)</f>
      </c>
      <c r="H58" s="21" t="s">
        <v>378</v>
      </c>
    </row>
    <row r="59" ht="32" customHeight="1" spans="1:8" x14ac:dyDescent="0.25">
      <c r="A59" s="18" t="s">
        <v>598</v>
      </c>
      <c r="B59" s="4" t="s">
        <v>599</v>
      </c>
      <c r="C59" s="4" t="s">
        <v>489</v>
      </c>
      <c r="D59" s="7" t="s">
        <v>353</v>
      </c>
      <c r="E59" s="19">
        <v>1</v>
      </c>
      <c r="F59" s="19">
        <v>12000</v>
      </c>
      <c r="G59" s="19">
        <f>IF(OR(E59="",F59=""),"",E59*F59)</f>
      </c>
      <c r="H59" s="4" t="s">
        <v>378</v>
      </c>
    </row>
    <row r="60" ht="32" customHeight="1" spans="1:8" x14ac:dyDescent="0.25">
      <c r="A60" s="20" t="s">
        <v>600</v>
      </c>
      <c r="B60" s="21" t="s">
        <v>601</v>
      </c>
      <c r="C60" s="21" t="s">
        <v>489</v>
      </c>
      <c r="D60" s="22" t="s">
        <v>353</v>
      </c>
      <c r="E60" s="19">
        <v>1</v>
      </c>
      <c r="F60" s="19">
        <v>12000</v>
      </c>
      <c r="G60" s="19">
        <f>IF(OR(E60="",F60=""),"",E60*F60)</f>
      </c>
      <c r="H60" s="21" t="s">
        <v>378</v>
      </c>
    </row>
    <row r="61" ht="19.5" customHeight="1" spans="1:8" x14ac:dyDescent="0.25">
      <c r="A61" s="23" t="s">
        <v>602</v>
      </c>
      <c r="B61"/>
      <c r="C61"/>
      <c r="D61"/>
      <c r="E61"/>
      <c r="F61"/>
      <c r="G61" s="24">
        <f>SUM(G5:G61)</f>
      </c>
      <c r="H61" s="23" t="s">
        <v>296</v>
      </c>
    </row>
    <row r="62" spans="1:1" x14ac:dyDescent="0.25"/>
    <row r="63" spans="1:1" x14ac:dyDescent="0.25"/>
    <row r="64" ht="24" customHeight="1" spans="1:8" x14ac:dyDescent="0.25">
      <c r="A64" s="25" t="s">
        <v>603</v>
      </c>
      <c r="B64"/>
      <c r="C64"/>
      <c r="D64"/>
      <c r="E64"/>
      <c r="F64"/>
      <c r="G64" s="26">
        <f>SUMIF(G4:G62,"&lt;&gt;")</f>
      </c>
      <c r="H64" s="25" t="s">
        <v>296</v>
      </c>
    </row>
  </sheetData>
  <mergeCells count="5">
    <mergeCell ref="A1:H1"/>
    <mergeCell ref="A2:H2"/>
    <mergeCell ref="A4:H4"/>
    <mergeCell ref="A61:F61"/>
    <mergeCell ref="A64:F64"/>
  </mergeCells>
  <printOptions horizontalCentered="1"/>
  <pageMargins left="0.4" right="0.4" top="0.5" bottom="0.5" header="0.3" footer="0.3"/>
  <pageSetup paperSize="9" orientation="portrait" fitToWidth="1" fitToHeight="0"/>
  <headerFooter>
    <oddHeader>&amp;L&amp;"Arial,Bold"&amp;12Proposed B+G+8+R Commercial &amp; Residential Building&amp;R&amp;"Arial,Italic"&amp;10Job FA_P379 / CRs B/010/25</oddHeader>
    <oddFooter>&amp;LBill 4 — DISTRIBUTION BOARDS (DBs) &amp; CONSUMER UNITS&amp;RPage &amp;P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188"/>
  <sheetViews>
    <sheetView workbookViewId="0">
      <pane ySplit="3" topLeftCell="A4" activePane="bottomLeft" state="frozen"/>
      <selection pane="bottomLeft" activeCell="A4" sqref="A4"/>
    </sheetView>
  </sheetViews>
  <sheetFormatPr defaultRowHeight="15" outlineLevelRow="0" outlineLevelCol="0" x14ac:dyDescent="55"/>
  <cols>
    <col min="1" max="1" width="7" customWidth="1"/>
    <col min="2" max="2" width="28" customWidth="1"/>
    <col min="3" max="3" width="34" customWidth="1"/>
    <col min="4" max="4" width="16" customWidth="1"/>
    <col min="5" max="5" width="7" customWidth="1"/>
    <col min="7" max="7" width="12" customWidth="1"/>
    <col min="8" max="8" width="15" customWidth="1"/>
    <col min="9" max="9" width="22" customWidth="1"/>
  </cols>
  <sheetData>
    <row r="1" ht="27.75" customHeight="1" spans="1:9" x14ac:dyDescent="0.25">
      <c r="A1" s="1" t="s">
        <v>604</v>
      </c>
      <c r="B1"/>
      <c r="C1"/>
      <c r="D1"/>
      <c r="E1"/>
      <c r="F1"/>
      <c r="G1"/>
      <c r="H1"/>
      <c r="I1"/>
    </row>
    <row r="2" ht="13.5" customHeight="1" spans="1:9" x14ac:dyDescent="0.25">
      <c r="A2" s="17" t="s">
        <v>273</v>
      </c>
      <c r="B2"/>
      <c r="C2"/>
      <c r="D2"/>
      <c r="E2"/>
      <c r="F2"/>
      <c r="G2"/>
      <c r="H2"/>
      <c r="I2"/>
    </row>
    <row r="3" ht="27.75" customHeight="1" spans="1:9" x14ac:dyDescent="0.25">
      <c r="A3" s="6" t="s">
        <v>274</v>
      </c>
      <c r="B3" s="6" t="s">
        <v>605</v>
      </c>
      <c r="C3" s="6" t="s">
        <v>606</v>
      </c>
      <c r="D3" s="6" t="s">
        <v>275</v>
      </c>
      <c r="E3" s="6" t="s">
        <v>276</v>
      </c>
      <c r="F3" s="6" t="s">
        <v>277</v>
      </c>
      <c r="G3" s="6" t="s">
        <v>278</v>
      </c>
      <c r="H3" s="6" t="s">
        <v>279</v>
      </c>
      <c r="I3" s="6" t="s">
        <v>280</v>
      </c>
    </row>
    <row r="4" ht="19.5" customHeight="1" spans="1:9" x14ac:dyDescent="0.25">
      <c r="A4" s="5" t="s">
        <v>607</v>
      </c>
      <c r="B4"/>
      <c r="C4"/>
      <c r="D4"/>
      <c r="E4"/>
      <c r="F4"/>
      <c r="G4"/>
      <c r="H4"/>
      <c r="I4"/>
    </row>
    <row r="5" ht="42" customHeight="1" spans="1:9" x14ac:dyDescent="0.25">
      <c r="A5" s="27" t="s">
        <v>608</v>
      </c>
      <c r="B5"/>
      <c r="C5"/>
      <c r="D5"/>
      <c r="E5"/>
      <c r="F5"/>
      <c r="G5"/>
      <c r="H5"/>
      <c r="I5"/>
    </row>
    <row r="6" ht="18" customHeight="1" spans="1:9" x14ac:dyDescent="0.25">
      <c r="A6" s="18" t="s">
        <v>609</v>
      </c>
      <c r="B6" s="4" t="s">
        <v>610</v>
      </c>
      <c r="C6" s="4" t="s">
        <v>611</v>
      </c>
      <c r="D6" s="4" t="s">
        <v>612</v>
      </c>
      <c r="E6" s="7" t="s">
        <v>357</v>
      </c>
      <c r="F6" s="19">
        <v>25</v>
      </c>
      <c r="G6" s="19">
        <v>195</v>
      </c>
      <c r="H6" s="19">
        <f>IF(OR(F6="",G6=""),"",F6*G6)</f>
      </c>
      <c r="I6" s="4" t="s">
        <v>613</v>
      </c>
    </row>
    <row r="7" ht="18" customHeight="1" spans="1:9" x14ac:dyDescent="0.25">
      <c r="A7" s="20" t="s">
        <v>614</v>
      </c>
      <c r="B7" s="21" t="s">
        <v>610</v>
      </c>
      <c r="C7" s="21" t="s">
        <v>615</v>
      </c>
      <c r="D7" s="21" t="s">
        <v>612</v>
      </c>
      <c r="E7" s="22" t="s">
        <v>357</v>
      </c>
      <c r="F7" s="19">
        <v>29</v>
      </c>
      <c r="G7" s="19">
        <v>195</v>
      </c>
      <c r="H7" s="19">
        <f>IF(OR(F7="",G7=""),"",F7*G7)</f>
      </c>
      <c r="I7" s="21" t="s">
        <v>613</v>
      </c>
    </row>
    <row r="8" ht="18" customHeight="1" spans="1:9" x14ac:dyDescent="0.25">
      <c r="A8" s="18" t="s">
        <v>616</v>
      </c>
      <c r="B8" s="4" t="s">
        <v>610</v>
      </c>
      <c r="C8" s="4" t="s">
        <v>617</v>
      </c>
      <c r="D8" s="4" t="s">
        <v>612</v>
      </c>
      <c r="E8" s="7" t="s">
        <v>357</v>
      </c>
      <c r="F8" s="19">
        <v>33</v>
      </c>
      <c r="G8" s="19">
        <v>195</v>
      </c>
      <c r="H8" s="19">
        <f>IF(OR(F8="",G8=""),"",F8*G8)</f>
      </c>
      <c r="I8" s="4" t="s">
        <v>613</v>
      </c>
    </row>
    <row r="9" ht="18" customHeight="1" spans="1:9" x14ac:dyDescent="0.25">
      <c r="A9" s="20" t="s">
        <v>618</v>
      </c>
      <c r="B9" s="21" t="s">
        <v>610</v>
      </c>
      <c r="C9" s="21" t="s">
        <v>619</v>
      </c>
      <c r="D9" s="21" t="s">
        <v>612</v>
      </c>
      <c r="E9" s="22" t="s">
        <v>357</v>
      </c>
      <c r="F9" s="19">
        <v>37</v>
      </c>
      <c r="G9" s="19">
        <v>195</v>
      </c>
      <c r="H9" s="19">
        <f>IF(OR(F9="",G9=""),"",F9*G9)</f>
      </c>
      <c r="I9" s="21" t="s">
        <v>613</v>
      </c>
    </row>
    <row r="10" ht="18" customHeight="1" spans="1:9" x14ac:dyDescent="0.25">
      <c r="A10" s="18" t="s">
        <v>620</v>
      </c>
      <c r="B10" s="4" t="s">
        <v>610</v>
      </c>
      <c r="C10" s="4" t="s">
        <v>621</v>
      </c>
      <c r="D10" s="4" t="s">
        <v>612</v>
      </c>
      <c r="E10" s="7" t="s">
        <v>357</v>
      </c>
      <c r="F10" s="19">
        <v>41</v>
      </c>
      <c r="G10" s="19">
        <v>195</v>
      </c>
      <c r="H10" s="19">
        <f>IF(OR(F10="",G10=""),"",F10*G10)</f>
      </c>
      <c r="I10" s="4" t="s">
        <v>613</v>
      </c>
    </row>
    <row r="11" ht="18" customHeight="1" spans="1:9" x14ac:dyDescent="0.25">
      <c r="A11" s="20" t="s">
        <v>622</v>
      </c>
      <c r="B11" s="21" t="s">
        <v>610</v>
      </c>
      <c r="C11" s="21" t="s">
        <v>623</v>
      </c>
      <c r="D11" s="21" t="s">
        <v>612</v>
      </c>
      <c r="E11" s="22" t="s">
        <v>357</v>
      </c>
      <c r="F11" s="19">
        <v>45</v>
      </c>
      <c r="G11" s="19">
        <v>195</v>
      </c>
      <c r="H11" s="19">
        <f>IF(OR(F11="",G11=""),"",F11*G11)</f>
      </c>
      <c r="I11" s="21" t="s">
        <v>613</v>
      </c>
    </row>
    <row r="12" ht="18" customHeight="1" spans="1:9" x14ac:dyDescent="0.25">
      <c r="A12" s="18" t="s">
        <v>624</v>
      </c>
      <c r="B12" s="4" t="s">
        <v>610</v>
      </c>
      <c r="C12" s="4" t="s">
        <v>625</v>
      </c>
      <c r="D12" s="4" t="s">
        <v>612</v>
      </c>
      <c r="E12" s="7" t="s">
        <v>357</v>
      </c>
      <c r="F12" s="19">
        <v>49</v>
      </c>
      <c r="G12" s="19">
        <v>195</v>
      </c>
      <c r="H12" s="19">
        <f>IF(OR(F12="",G12=""),"",F12*G12)</f>
      </c>
      <c r="I12" s="4" t="s">
        <v>613</v>
      </c>
    </row>
    <row r="13" ht="18" customHeight="1" spans="1:9" x14ac:dyDescent="0.25">
      <c r="A13" s="20" t="s">
        <v>626</v>
      </c>
      <c r="B13" s="21" t="s">
        <v>610</v>
      </c>
      <c r="C13" s="21" t="s">
        <v>627</v>
      </c>
      <c r="D13" s="21" t="s">
        <v>612</v>
      </c>
      <c r="E13" s="22" t="s">
        <v>357</v>
      </c>
      <c r="F13" s="19">
        <v>53</v>
      </c>
      <c r="G13" s="19">
        <v>195</v>
      </c>
      <c r="H13" s="19">
        <f>IF(OR(F13="",G13=""),"",F13*G13)</f>
      </c>
      <c r="I13" s="21" t="s">
        <v>613</v>
      </c>
    </row>
    <row r="14" ht="18" customHeight="1" spans="1:9" x14ac:dyDescent="0.25">
      <c r="A14" s="18" t="s">
        <v>628</v>
      </c>
      <c r="B14" s="4" t="s">
        <v>610</v>
      </c>
      <c r="C14" s="4" t="s">
        <v>629</v>
      </c>
      <c r="D14" s="4" t="s">
        <v>612</v>
      </c>
      <c r="E14" s="7" t="s">
        <v>357</v>
      </c>
      <c r="F14" s="19">
        <v>65</v>
      </c>
      <c r="G14" s="19">
        <v>195</v>
      </c>
      <c r="H14" s="19">
        <f>IF(OR(F14="",G14=""),"",F14*G14)</f>
      </c>
      <c r="I14" s="4" t="s">
        <v>613</v>
      </c>
    </row>
    <row r="15" ht="18" customHeight="1" spans="1:9" x14ac:dyDescent="0.25">
      <c r="A15" s="20" t="s">
        <v>630</v>
      </c>
      <c r="B15" s="21" t="s">
        <v>631</v>
      </c>
      <c r="C15" s="21" t="s">
        <v>632</v>
      </c>
      <c r="D15" s="21" t="s">
        <v>612</v>
      </c>
      <c r="E15" s="22" t="s">
        <v>357</v>
      </c>
      <c r="F15" s="19">
        <v>15</v>
      </c>
      <c r="G15" s="19">
        <v>85</v>
      </c>
      <c r="H15" s="19">
        <f>IF(OR(F15="",G15=""),"",F15*G15)</f>
      </c>
      <c r="I15" s="21" t="s">
        <v>613</v>
      </c>
    </row>
    <row r="16" ht="18" customHeight="1" spans="1:9" x14ac:dyDescent="0.25">
      <c r="A16" s="18" t="s">
        <v>633</v>
      </c>
      <c r="B16" s="4" t="s">
        <v>634</v>
      </c>
      <c r="C16" s="4" t="s">
        <v>635</v>
      </c>
      <c r="D16" s="4" t="s">
        <v>612</v>
      </c>
      <c r="E16" s="7" t="s">
        <v>357</v>
      </c>
      <c r="F16" s="19">
        <v>20</v>
      </c>
      <c r="G16" s="19">
        <v>110</v>
      </c>
      <c r="H16" s="19">
        <f>IF(OR(F16="",G16=""),"",F16*G16)</f>
      </c>
      <c r="I16" s="4" t="s">
        <v>613</v>
      </c>
    </row>
    <row r="17" ht="32" customHeight="1" spans="1:9" x14ac:dyDescent="0.25">
      <c r="A17" s="20" t="s">
        <v>636</v>
      </c>
      <c r="B17" s="21" t="s">
        <v>637</v>
      </c>
      <c r="C17" s="21" t="s">
        <v>638</v>
      </c>
      <c r="D17" s="21" t="s">
        <v>612</v>
      </c>
      <c r="E17" s="22" t="s">
        <v>357</v>
      </c>
      <c r="F17" s="19">
        <v>20</v>
      </c>
      <c r="G17" s="19">
        <v>22</v>
      </c>
      <c r="H17" s="19">
        <f>IF(OR(F17="",G17=""),"",F17*G17)</f>
      </c>
      <c r="I17" s="21" t="s">
        <v>613</v>
      </c>
    </row>
    <row r="18" ht="32" customHeight="1" spans="1:9" x14ac:dyDescent="0.25">
      <c r="A18" s="18" t="s">
        <v>639</v>
      </c>
      <c r="B18" s="4" t="s">
        <v>637</v>
      </c>
      <c r="C18" s="4" t="s">
        <v>640</v>
      </c>
      <c r="D18" s="4" t="s">
        <v>612</v>
      </c>
      <c r="E18" s="7" t="s">
        <v>357</v>
      </c>
      <c r="F18" s="19">
        <v>22</v>
      </c>
      <c r="G18" s="19">
        <v>22</v>
      </c>
      <c r="H18" s="19">
        <f>IF(OR(F18="",G18=""),"",F18*G18)</f>
      </c>
      <c r="I18" s="4" t="s">
        <v>613</v>
      </c>
    </row>
    <row r="19" ht="32" customHeight="1" spans="1:9" x14ac:dyDescent="0.25">
      <c r="A19" s="20" t="s">
        <v>641</v>
      </c>
      <c r="B19" s="21" t="s">
        <v>637</v>
      </c>
      <c r="C19" s="21" t="s">
        <v>642</v>
      </c>
      <c r="D19" s="21" t="s">
        <v>612</v>
      </c>
      <c r="E19" s="22" t="s">
        <v>357</v>
      </c>
      <c r="F19" s="19">
        <v>24</v>
      </c>
      <c r="G19" s="19">
        <v>22</v>
      </c>
      <c r="H19" s="19">
        <f>IF(OR(F19="",G19=""),"",F19*G19)</f>
      </c>
      <c r="I19" s="21" t="s">
        <v>613</v>
      </c>
    </row>
    <row r="20" ht="32" customHeight="1" spans="1:9" x14ac:dyDescent="0.25">
      <c r="A20" s="18" t="s">
        <v>643</v>
      </c>
      <c r="B20" s="4" t="s">
        <v>637</v>
      </c>
      <c r="C20" s="4" t="s">
        <v>644</v>
      </c>
      <c r="D20" s="4" t="s">
        <v>612</v>
      </c>
      <c r="E20" s="7" t="s">
        <v>357</v>
      </c>
      <c r="F20" s="19">
        <v>26</v>
      </c>
      <c r="G20" s="19">
        <v>22</v>
      </c>
      <c r="H20" s="19">
        <f>IF(OR(F20="",G20=""),"",F20*G20)</f>
      </c>
      <c r="I20" s="4" t="s">
        <v>613</v>
      </c>
    </row>
    <row r="21" ht="32" customHeight="1" spans="1:9" x14ac:dyDescent="0.25">
      <c r="A21" s="20" t="s">
        <v>645</v>
      </c>
      <c r="B21" s="21" t="s">
        <v>637</v>
      </c>
      <c r="C21" s="21" t="s">
        <v>646</v>
      </c>
      <c r="D21" s="21" t="s">
        <v>612</v>
      </c>
      <c r="E21" s="22" t="s">
        <v>357</v>
      </c>
      <c r="F21" s="19">
        <v>28</v>
      </c>
      <c r="G21" s="19">
        <v>22</v>
      </c>
      <c r="H21" s="19">
        <f>IF(OR(F21="",G21=""),"",F21*G21)</f>
      </c>
      <c r="I21" s="21" t="s">
        <v>613</v>
      </c>
    </row>
    <row r="22" ht="32" customHeight="1" spans="1:9" x14ac:dyDescent="0.25">
      <c r="A22" s="18" t="s">
        <v>647</v>
      </c>
      <c r="B22" s="4" t="s">
        <v>637</v>
      </c>
      <c r="C22" s="4" t="s">
        <v>648</v>
      </c>
      <c r="D22" s="4" t="s">
        <v>612</v>
      </c>
      <c r="E22" s="7" t="s">
        <v>357</v>
      </c>
      <c r="F22" s="19">
        <v>30</v>
      </c>
      <c r="G22" s="19">
        <v>22</v>
      </c>
      <c r="H22" s="19">
        <f>IF(OR(F22="",G22=""),"",F22*G22)</f>
      </c>
      <c r="I22" s="4" t="s">
        <v>613</v>
      </c>
    </row>
    <row r="23" ht="32" customHeight="1" spans="1:9" x14ac:dyDescent="0.25">
      <c r="A23" s="20" t="s">
        <v>649</v>
      </c>
      <c r="B23" s="21" t="s">
        <v>637</v>
      </c>
      <c r="C23" s="21" t="s">
        <v>650</v>
      </c>
      <c r="D23" s="21" t="s">
        <v>612</v>
      </c>
      <c r="E23" s="22" t="s">
        <v>357</v>
      </c>
      <c r="F23" s="19">
        <v>32</v>
      </c>
      <c r="G23" s="19">
        <v>22</v>
      </c>
      <c r="H23" s="19">
        <f>IF(OR(F23="",G23=""),"",F23*G23)</f>
      </c>
      <c r="I23" s="21" t="s">
        <v>613</v>
      </c>
    </row>
    <row r="24" ht="32" customHeight="1" spans="1:9" x14ac:dyDescent="0.25">
      <c r="A24" s="18" t="s">
        <v>651</v>
      </c>
      <c r="B24" s="4" t="s">
        <v>637</v>
      </c>
      <c r="C24" s="4" t="s">
        <v>652</v>
      </c>
      <c r="D24" s="4" t="s">
        <v>612</v>
      </c>
      <c r="E24" s="7" t="s">
        <v>357</v>
      </c>
      <c r="F24" s="19">
        <v>34</v>
      </c>
      <c r="G24" s="19">
        <v>22</v>
      </c>
      <c r="H24" s="19">
        <f>IF(OR(F24="",G24=""),"",F24*G24)</f>
      </c>
      <c r="I24" s="4" t="s">
        <v>613</v>
      </c>
    </row>
    <row r="25" ht="32" customHeight="1" spans="1:9" x14ac:dyDescent="0.25">
      <c r="A25" s="20" t="s">
        <v>653</v>
      </c>
      <c r="B25" s="21" t="s">
        <v>637</v>
      </c>
      <c r="C25" s="21" t="s">
        <v>654</v>
      </c>
      <c r="D25" s="21" t="s">
        <v>612</v>
      </c>
      <c r="E25" s="22" t="s">
        <v>357</v>
      </c>
      <c r="F25" s="19">
        <v>36</v>
      </c>
      <c r="G25" s="19">
        <v>22</v>
      </c>
      <c r="H25" s="19">
        <f>IF(OR(F25="",G25=""),"",F25*G25)</f>
      </c>
      <c r="I25" s="21" t="s">
        <v>613</v>
      </c>
    </row>
    <row r="26" ht="32" customHeight="1" spans="1:9" x14ac:dyDescent="0.25">
      <c r="A26" s="18" t="s">
        <v>655</v>
      </c>
      <c r="B26" s="4" t="s">
        <v>637</v>
      </c>
      <c r="C26" s="4" t="s">
        <v>656</v>
      </c>
      <c r="D26" s="4" t="s">
        <v>612</v>
      </c>
      <c r="E26" s="7" t="s">
        <v>357</v>
      </c>
      <c r="F26" s="19">
        <v>38</v>
      </c>
      <c r="G26" s="19">
        <v>22</v>
      </c>
      <c r="H26" s="19">
        <f>IF(OR(F26="",G26=""),"",F26*G26)</f>
      </c>
      <c r="I26" s="4" t="s">
        <v>613</v>
      </c>
    </row>
    <row r="27" ht="32" customHeight="1" spans="1:9" x14ac:dyDescent="0.25">
      <c r="A27" s="20" t="s">
        <v>657</v>
      </c>
      <c r="B27" s="21" t="s">
        <v>637</v>
      </c>
      <c r="C27" s="21" t="s">
        <v>658</v>
      </c>
      <c r="D27" s="21" t="s">
        <v>612</v>
      </c>
      <c r="E27" s="22" t="s">
        <v>357</v>
      </c>
      <c r="F27" s="19">
        <v>40</v>
      </c>
      <c r="G27" s="19">
        <v>22</v>
      </c>
      <c r="H27" s="19">
        <f>IF(OR(F27="",G27=""),"",F27*G27)</f>
      </c>
      <c r="I27" s="21" t="s">
        <v>613</v>
      </c>
    </row>
    <row r="28" ht="32" customHeight="1" spans="1:9" x14ac:dyDescent="0.25">
      <c r="A28" s="18" t="s">
        <v>659</v>
      </c>
      <c r="B28" s="4" t="s">
        <v>660</v>
      </c>
      <c r="C28" s="4" t="s">
        <v>661</v>
      </c>
      <c r="D28" s="4" t="s">
        <v>612</v>
      </c>
      <c r="E28" s="7" t="s">
        <v>357</v>
      </c>
      <c r="F28" s="19">
        <v>42</v>
      </c>
      <c r="G28" s="19">
        <v>32</v>
      </c>
      <c r="H28" s="19">
        <f>IF(OR(F28="",G28=""),"",F28*G28)</f>
      </c>
      <c r="I28" s="4" t="s">
        <v>613</v>
      </c>
    </row>
    <row r="29" ht="19.5" customHeight="1" spans="1:9" x14ac:dyDescent="0.25">
      <c r="A29" s="23" t="s">
        <v>662</v>
      </c>
      <c r="B29"/>
      <c r="C29"/>
      <c r="D29"/>
      <c r="E29"/>
      <c r="F29"/>
      <c r="G29"/>
      <c r="H29" s="24">
        <f>SUM(H6:H29)</f>
      </c>
      <c r="I29" s="23" t="s">
        <v>296</v>
      </c>
    </row>
    <row r="30" spans="1:1" x14ac:dyDescent="0.25"/>
    <row r="31" ht="19.5" customHeight="1" spans="1:9" x14ac:dyDescent="0.25">
      <c r="A31" s="5" t="s">
        <v>663</v>
      </c>
      <c r="B31"/>
      <c r="C31"/>
      <c r="D31"/>
      <c r="E31"/>
      <c r="F31"/>
      <c r="G31"/>
      <c r="H31"/>
      <c r="I31"/>
    </row>
    <row r="32" ht="42" customHeight="1" spans="1:9" x14ac:dyDescent="0.25">
      <c r="A32" s="27" t="s">
        <v>664</v>
      </c>
      <c r="B32"/>
      <c r="C32"/>
      <c r="D32"/>
      <c r="E32"/>
      <c r="F32"/>
      <c r="G32"/>
      <c r="H32"/>
      <c r="I32"/>
    </row>
    <row r="33" ht="18" customHeight="1" spans="1:9" x14ac:dyDescent="0.25">
      <c r="A33" s="18" t="s">
        <v>665</v>
      </c>
      <c r="B33" s="4" t="s">
        <v>666</v>
      </c>
      <c r="C33" s="4" t="s">
        <v>667</v>
      </c>
      <c r="D33" s="4" t="s">
        <v>612</v>
      </c>
      <c r="E33" s="7" t="s">
        <v>357</v>
      </c>
      <c r="F33" s="19">
        <v>15</v>
      </c>
      <c r="G33" s="19">
        <v>229</v>
      </c>
      <c r="H33" s="19">
        <f>IF(OR(F33="",G33=""),"",F33*G33)</f>
      </c>
      <c r="I33" s="4" t="s">
        <v>668</v>
      </c>
    </row>
    <row r="34" ht="18" customHeight="1" spans="1:9" x14ac:dyDescent="0.25">
      <c r="A34" s="20" t="s">
        <v>669</v>
      </c>
      <c r="B34" s="21" t="s">
        <v>670</v>
      </c>
      <c r="C34" s="21" t="s">
        <v>671</v>
      </c>
      <c r="D34" s="21" t="s">
        <v>612</v>
      </c>
      <c r="E34" s="22" t="s">
        <v>357</v>
      </c>
      <c r="F34" s="19">
        <v>35</v>
      </c>
      <c r="G34" s="19">
        <v>510</v>
      </c>
      <c r="H34" s="19">
        <f>IF(OR(F34="",G34=""),"",F34*G34)</f>
      </c>
      <c r="I34" s="21" t="s">
        <v>668</v>
      </c>
    </row>
    <row r="35" ht="19.5" customHeight="1" spans="1:9" x14ac:dyDescent="0.25">
      <c r="A35" s="23" t="s">
        <v>672</v>
      </c>
      <c r="B35"/>
      <c r="C35"/>
      <c r="D35"/>
      <c r="E35"/>
      <c r="F35"/>
      <c r="G35"/>
      <c r="H35" s="24">
        <f>SUM(H33:H35)</f>
      </c>
      <c r="I35" s="23" t="s">
        <v>296</v>
      </c>
    </row>
    <row r="36" spans="1:1" x14ac:dyDescent="0.25"/>
    <row r="37" ht="19.5" customHeight="1" spans="1:9" x14ac:dyDescent="0.25">
      <c r="A37" s="5" t="s">
        <v>673</v>
      </c>
      <c r="B37"/>
      <c r="C37"/>
      <c r="D37"/>
      <c r="E37"/>
      <c r="F37"/>
      <c r="G37"/>
      <c r="H37"/>
      <c r="I37"/>
    </row>
    <row r="38" ht="42" customHeight="1" spans="1:9" x14ac:dyDescent="0.25">
      <c r="A38" s="27" t="s">
        <v>608</v>
      </c>
      <c r="B38"/>
      <c r="C38"/>
      <c r="D38"/>
      <c r="E38"/>
      <c r="F38"/>
      <c r="G38"/>
      <c r="H38"/>
      <c r="I38"/>
    </row>
    <row r="39" ht="18" customHeight="1" spans="1:9" x14ac:dyDescent="0.25">
      <c r="A39" s="18" t="s">
        <v>674</v>
      </c>
      <c r="B39" s="4" t="s">
        <v>660</v>
      </c>
      <c r="C39" s="4" t="s">
        <v>675</v>
      </c>
      <c r="D39" s="4" t="s">
        <v>489</v>
      </c>
      <c r="E39" s="7" t="s">
        <v>357</v>
      </c>
      <c r="F39" s="19">
        <v>20</v>
      </c>
      <c r="G39" s="19">
        <v>32</v>
      </c>
      <c r="H39" s="19">
        <f>IF(OR(F39="",G39=""),"",F39*G39)</f>
      </c>
      <c r="I39" s="4" t="s">
        <v>613</v>
      </c>
    </row>
    <row r="40" ht="18" customHeight="1" spans="1:9" x14ac:dyDescent="0.25">
      <c r="A40" s="20" t="s">
        <v>676</v>
      </c>
      <c r="B40" s="21" t="s">
        <v>637</v>
      </c>
      <c r="C40" s="21" t="s">
        <v>677</v>
      </c>
      <c r="D40" s="21" t="s">
        <v>489</v>
      </c>
      <c r="E40" s="22" t="s">
        <v>357</v>
      </c>
      <c r="F40" s="19">
        <v>15</v>
      </c>
      <c r="G40" s="19">
        <v>22</v>
      </c>
      <c r="H40" s="19">
        <f>IF(OR(F40="",G40=""),"",F40*G40)</f>
      </c>
      <c r="I40" s="21" t="s">
        <v>613</v>
      </c>
    </row>
    <row r="41" ht="18" customHeight="1" spans="1:9" x14ac:dyDescent="0.25">
      <c r="A41" s="18" t="s">
        <v>678</v>
      </c>
      <c r="B41" s="4" t="s">
        <v>637</v>
      </c>
      <c r="C41" s="4" t="s">
        <v>679</v>
      </c>
      <c r="D41" s="4" t="s">
        <v>489</v>
      </c>
      <c r="E41" s="7" t="s">
        <v>357</v>
      </c>
      <c r="F41" s="19">
        <v>15</v>
      </c>
      <c r="G41" s="19">
        <v>22</v>
      </c>
      <c r="H41" s="19">
        <f>IF(OR(F41="",G41=""),"",F41*G41)</f>
      </c>
      <c r="I41" s="4" t="s">
        <v>613</v>
      </c>
    </row>
    <row r="42" ht="18" customHeight="1" spans="1:9" x14ac:dyDescent="0.25">
      <c r="A42" s="20" t="s">
        <v>680</v>
      </c>
      <c r="B42" s="21" t="s">
        <v>637</v>
      </c>
      <c r="C42" s="21" t="s">
        <v>681</v>
      </c>
      <c r="D42" s="21" t="s">
        <v>489</v>
      </c>
      <c r="E42" s="22" t="s">
        <v>357</v>
      </c>
      <c r="F42" s="19">
        <v>15</v>
      </c>
      <c r="G42" s="19">
        <v>22</v>
      </c>
      <c r="H42" s="19">
        <f>IF(OR(F42="",G42=""),"",F42*G42)</f>
      </c>
      <c r="I42" s="21" t="s">
        <v>613</v>
      </c>
    </row>
    <row r="43" ht="32" customHeight="1" spans="1:9" x14ac:dyDescent="0.25">
      <c r="A43" s="18" t="s">
        <v>682</v>
      </c>
      <c r="B43" s="4" t="s">
        <v>637</v>
      </c>
      <c r="C43" s="4" t="s">
        <v>683</v>
      </c>
      <c r="D43" s="4" t="s">
        <v>489</v>
      </c>
      <c r="E43" s="7" t="s">
        <v>357</v>
      </c>
      <c r="F43" s="19">
        <v>20</v>
      </c>
      <c r="G43" s="19">
        <v>22</v>
      </c>
      <c r="H43" s="19">
        <f>IF(OR(F43="",G43=""),"",F43*G43)</f>
      </c>
      <c r="I43" s="4" t="s">
        <v>613</v>
      </c>
    </row>
    <row r="44" ht="32" customHeight="1" spans="1:9" x14ac:dyDescent="0.25">
      <c r="A44" s="20" t="s">
        <v>684</v>
      </c>
      <c r="B44" s="21" t="s">
        <v>637</v>
      </c>
      <c r="C44" s="21" t="s">
        <v>685</v>
      </c>
      <c r="D44" s="21" t="s">
        <v>489</v>
      </c>
      <c r="E44" s="22" t="s">
        <v>357</v>
      </c>
      <c r="F44" s="19">
        <v>20</v>
      </c>
      <c r="G44" s="19">
        <v>22</v>
      </c>
      <c r="H44" s="19">
        <f>IF(OR(F44="",G44=""),"",F44*G44)</f>
      </c>
      <c r="I44" s="21" t="s">
        <v>613</v>
      </c>
    </row>
    <row r="45" ht="18" customHeight="1" spans="1:9" x14ac:dyDescent="0.25">
      <c r="A45" s="18" t="s">
        <v>686</v>
      </c>
      <c r="B45" s="4" t="s">
        <v>637</v>
      </c>
      <c r="C45" s="4" t="s">
        <v>687</v>
      </c>
      <c r="D45" s="4" t="s">
        <v>489</v>
      </c>
      <c r="E45" s="7" t="s">
        <v>357</v>
      </c>
      <c r="F45" s="19">
        <v>15</v>
      </c>
      <c r="G45" s="19">
        <v>22</v>
      </c>
      <c r="H45" s="19">
        <f>IF(OR(F45="",G45=""),"",F45*G45)</f>
      </c>
      <c r="I45" s="4" t="s">
        <v>613</v>
      </c>
    </row>
    <row r="46" ht="18" customHeight="1" spans="1:9" x14ac:dyDescent="0.25">
      <c r="A46" s="20" t="s">
        <v>688</v>
      </c>
      <c r="B46" s="21" t="s">
        <v>637</v>
      </c>
      <c r="C46" s="21" t="s">
        <v>689</v>
      </c>
      <c r="D46" s="21" t="s">
        <v>489</v>
      </c>
      <c r="E46" s="22" t="s">
        <v>357</v>
      </c>
      <c r="F46" s="19">
        <v>15</v>
      </c>
      <c r="G46" s="19">
        <v>22</v>
      </c>
      <c r="H46" s="19">
        <f>IF(OR(F46="",G46=""),"",F46*G46)</f>
      </c>
      <c r="I46" s="21" t="s">
        <v>613</v>
      </c>
    </row>
    <row r="47" ht="32" customHeight="1" spans="1:9" x14ac:dyDescent="0.25">
      <c r="A47" s="18" t="s">
        <v>690</v>
      </c>
      <c r="B47" s="4" t="s">
        <v>691</v>
      </c>
      <c r="C47" s="4" t="s">
        <v>692</v>
      </c>
      <c r="D47" s="4" t="s">
        <v>489</v>
      </c>
      <c r="E47" s="7" t="s">
        <v>357</v>
      </c>
      <c r="F47" s="19">
        <v>25</v>
      </c>
      <c r="G47" s="19">
        <v>14</v>
      </c>
      <c r="H47" s="19">
        <f>IF(OR(F47="",G47=""),"",F47*G47)</f>
      </c>
      <c r="I47" s="4" t="s">
        <v>613</v>
      </c>
    </row>
    <row r="48" ht="32" customHeight="1" spans="1:9" x14ac:dyDescent="0.25">
      <c r="A48" s="20" t="s">
        <v>693</v>
      </c>
      <c r="B48" s="21" t="s">
        <v>637</v>
      </c>
      <c r="C48" s="21" t="s">
        <v>694</v>
      </c>
      <c r="D48" s="21" t="s">
        <v>489</v>
      </c>
      <c r="E48" s="22" t="s">
        <v>357</v>
      </c>
      <c r="F48" s="19">
        <v>15</v>
      </c>
      <c r="G48" s="19">
        <v>22</v>
      </c>
      <c r="H48" s="19">
        <f>IF(OR(F48="",G48=""),"",F48*G48)</f>
      </c>
      <c r="I48" s="21" t="s">
        <v>613</v>
      </c>
    </row>
    <row r="49" ht="32" customHeight="1" spans="1:9" x14ac:dyDescent="0.25">
      <c r="A49" s="18" t="s">
        <v>695</v>
      </c>
      <c r="B49" s="4" t="s">
        <v>637</v>
      </c>
      <c r="C49" s="4" t="s">
        <v>696</v>
      </c>
      <c r="D49" s="4" t="s">
        <v>489</v>
      </c>
      <c r="E49" s="7" t="s">
        <v>357</v>
      </c>
      <c r="F49" s="19">
        <v>30</v>
      </c>
      <c r="G49" s="19">
        <v>22</v>
      </c>
      <c r="H49" s="19">
        <f>IF(OR(F49="",G49=""),"",F49*G49)</f>
      </c>
      <c r="I49" s="4" t="s">
        <v>613</v>
      </c>
    </row>
    <row r="50" ht="32" customHeight="1" spans="1:9" x14ac:dyDescent="0.25">
      <c r="A50" s="20" t="s">
        <v>697</v>
      </c>
      <c r="B50" s="21" t="s">
        <v>637</v>
      </c>
      <c r="C50" s="21" t="s">
        <v>698</v>
      </c>
      <c r="D50" s="21" t="s">
        <v>489</v>
      </c>
      <c r="E50" s="22" t="s">
        <v>357</v>
      </c>
      <c r="F50" s="19">
        <v>20</v>
      </c>
      <c r="G50" s="19">
        <v>22</v>
      </c>
      <c r="H50" s="19">
        <f>IF(OR(F50="",G50=""),"",F50*G50)</f>
      </c>
      <c r="I50" s="21" t="s">
        <v>613</v>
      </c>
    </row>
    <row r="51" ht="32" customHeight="1" spans="1:9" x14ac:dyDescent="0.25">
      <c r="A51" s="18" t="s">
        <v>699</v>
      </c>
      <c r="B51" s="4" t="s">
        <v>637</v>
      </c>
      <c r="C51" s="4" t="s">
        <v>700</v>
      </c>
      <c r="D51" s="4" t="s">
        <v>489</v>
      </c>
      <c r="E51" s="7" t="s">
        <v>357</v>
      </c>
      <c r="F51" s="19">
        <v>10</v>
      </c>
      <c r="G51" s="19">
        <v>22</v>
      </c>
      <c r="H51" s="19">
        <f>IF(OR(F51="",G51=""),"",F51*G51)</f>
      </c>
      <c r="I51" s="4" t="s">
        <v>613</v>
      </c>
    </row>
    <row r="52" ht="32" customHeight="1" spans="1:9" x14ac:dyDescent="0.25">
      <c r="A52" s="20" t="s">
        <v>701</v>
      </c>
      <c r="B52" s="21" t="s">
        <v>637</v>
      </c>
      <c r="C52" s="21" t="s">
        <v>702</v>
      </c>
      <c r="D52" s="21" t="s">
        <v>489</v>
      </c>
      <c r="E52" s="22" t="s">
        <v>357</v>
      </c>
      <c r="F52" s="19">
        <v>15</v>
      </c>
      <c r="G52" s="19">
        <v>22</v>
      </c>
      <c r="H52" s="19">
        <f>IF(OR(F52="",G52=""),"",F52*G52)</f>
      </c>
      <c r="I52" s="21" t="s">
        <v>613</v>
      </c>
    </row>
    <row r="53" ht="18" customHeight="1" spans="1:9" x14ac:dyDescent="0.25">
      <c r="A53" s="18" t="s">
        <v>703</v>
      </c>
      <c r="B53" s="4" t="s">
        <v>660</v>
      </c>
      <c r="C53" s="4" t="s">
        <v>704</v>
      </c>
      <c r="D53" s="4" t="s">
        <v>489</v>
      </c>
      <c r="E53" s="7" t="s">
        <v>357</v>
      </c>
      <c r="F53" s="19">
        <v>25</v>
      </c>
      <c r="G53" s="19">
        <v>32</v>
      </c>
      <c r="H53" s="19">
        <f>IF(OR(F53="",G53=""),"",F53*G53)</f>
      </c>
      <c r="I53" s="4" t="s">
        <v>613</v>
      </c>
    </row>
    <row r="54" ht="18" customHeight="1" spans="1:9" x14ac:dyDescent="0.25">
      <c r="A54" s="20" t="s">
        <v>705</v>
      </c>
      <c r="B54" s="21" t="s">
        <v>660</v>
      </c>
      <c r="C54" s="21" t="s">
        <v>706</v>
      </c>
      <c r="D54" s="21" t="s">
        <v>489</v>
      </c>
      <c r="E54" s="22" t="s">
        <v>357</v>
      </c>
      <c r="F54" s="19">
        <v>25</v>
      </c>
      <c r="G54" s="19">
        <v>32</v>
      </c>
      <c r="H54" s="19">
        <f>IF(OR(F54="",G54=""),"",F54*G54)</f>
      </c>
      <c r="I54" s="21" t="s">
        <v>613</v>
      </c>
    </row>
    <row r="55" ht="18" customHeight="1" spans="1:9" x14ac:dyDescent="0.25">
      <c r="A55" s="18" t="s">
        <v>707</v>
      </c>
      <c r="B55" s="4" t="s">
        <v>660</v>
      </c>
      <c r="C55" s="4" t="s">
        <v>708</v>
      </c>
      <c r="D55" s="4" t="s">
        <v>489</v>
      </c>
      <c r="E55" s="7" t="s">
        <v>357</v>
      </c>
      <c r="F55" s="19">
        <v>25</v>
      </c>
      <c r="G55" s="19">
        <v>32</v>
      </c>
      <c r="H55" s="19">
        <f>IF(OR(F55="",G55=""),"",F55*G55)</f>
      </c>
      <c r="I55" s="4" t="s">
        <v>613</v>
      </c>
    </row>
    <row r="56" ht="18" customHeight="1" spans="1:9" x14ac:dyDescent="0.25">
      <c r="A56" s="20" t="s">
        <v>709</v>
      </c>
      <c r="B56" s="21" t="s">
        <v>660</v>
      </c>
      <c r="C56" s="21" t="s">
        <v>710</v>
      </c>
      <c r="D56" s="21" t="s">
        <v>489</v>
      </c>
      <c r="E56" s="22" t="s">
        <v>357</v>
      </c>
      <c r="F56" s="19">
        <v>25</v>
      </c>
      <c r="G56" s="19">
        <v>32</v>
      </c>
      <c r="H56" s="19">
        <f>IF(OR(F56="",G56=""),"",F56*G56)</f>
      </c>
      <c r="I56" s="21" t="s">
        <v>613</v>
      </c>
    </row>
    <row r="57" ht="18" customHeight="1" spans="1:9" x14ac:dyDescent="0.25">
      <c r="A57" s="18" t="s">
        <v>711</v>
      </c>
      <c r="B57" s="4" t="s">
        <v>660</v>
      </c>
      <c r="C57" s="4" t="s">
        <v>712</v>
      </c>
      <c r="D57" s="4" t="s">
        <v>489</v>
      </c>
      <c r="E57" s="7" t="s">
        <v>357</v>
      </c>
      <c r="F57" s="19">
        <v>25</v>
      </c>
      <c r="G57" s="19">
        <v>32</v>
      </c>
      <c r="H57" s="19">
        <f>IF(OR(F57="",G57=""),"",F57*G57)</f>
      </c>
      <c r="I57" s="4" t="s">
        <v>613</v>
      </c>
    </row>
    <row r="58" ht="18" customHeight="1" spans="1:9" x14ac:dyDescent="0.25">
      <c r="A58" s="20" t="s">
        <v>713</v>
      </c>
      <c r="B58" s="21" t="s">
        <v>660</v>
      </c>
      <c r="C58" s="21" t="s">
        <v>714</v>
      </c>
      <c r="D58" s="21" t="s">
        <v>489</v>
      </c>
      <c r="E58" s="22" t="s">
        <v>357</v>
      </c>
      <c r="F58" s="19">
        <v>25</v>
      </c>
      <c r="G58" s="19">
        <v>32</v>
      </c>
      <c r="H58" s="19">
        <f>IF(OR(F58="",G58=""),"",F58*G58)</f>
      </c>
      <c r="I58" s="21" t="s">
        <v>613</v>
      </c>
    </row>
    <row r="59" ht="18" customHeight="1" spans="1:9" x14ac:dyDescent="0.25">
      <c r="A59" s="18" t="s">
        <v>715</v>
      </c>
      <c r="B59" s="4" t="s">
        <v>660</v>
      </c>
      <c r="C59" s="4" t="s">
        <v>716</v>
      </c>
      <c r="D59" s="4" t="s">
        <v>489</v>
      </c>
      <c r="E59" s="7" t="s">
        <v>357</v>
      </c>
      <c r="F59" s="19">
        <v>25</v>
      </c>
      <c r="G59" s="19">
        <v>32</v>
      </c>
      <c r="H59" s="19">
        <f>IF(OR(F59="",G59=""),"",F59*G59)</f>
      </c>
      <c r="I59" s="4" t="s">
        <v>613</v>
      </c>
    </row>
    <row r="60" ht="18" customHeight="1" spans="1:9" x14ac:dyDescent="0.25">
      <c r="A60" s="20" t="s">
        <v>717</v>
      </c>
      <c r="B60" s="21" t="s">
        <v>660</v>
      </c>
      <c r="C60" s="21" t="s">
        <v>718</v>
      </c>
      <c r="D60" s="21" t="s">
        <v>489</v>
      </c>
      <c r="E60" s="22" t="s">
        <v>357</v>
      </c>
      <c r="F60" s="19">
        <v>25</v>
      </c>
      <c r="G60" s="19">
        <v>32</v>
      </c>
      <c r="H60" s="19">
        <f>IF(OR(F60="",G60=""),"",F60*G60)</f>
      </c>
      <c r="I60" s="21" t="s">
        <v>613</v>
      </c>
    </row>
    <row r="61" ht="18" customHeight="1" spans="1:9" x14ac:dyDescent="0.25">
      <c r="A61" s="18" t="s">
        <v>719</v>
      </c>
      <c r="B61" s="4" t="s">
        <v>660</v>
      </c>
      <c r="C61" s="4" t="s">
        <v>720</v>
      </c>
      <c r="D61" s="4" t="s">
        <v>489</v>
      </c>
      <c r="E61" s="7" t="s">
        <v>357</v>
      </c>
      <c r="F61" s="19">
        <v>25</v>
      </c>
      <c r="G61" s="19">
        <v>32</v>
      </c>
      <c r="H61" s="19">
        <f>IF(OR(F61="",G61=""),"",F61*G61)</f>
      </c>
      <c r="I61" s="4" t="s">
        <v>613</v>
      </c>
    </row>
    <row r="62" ht="32" customHeight="1" spans="1:9" x14ac:dyDescent="0.25">
      <c r="A62" s="20" t="s">
        <v>721</v>
      </c>
      <c r="B62" s="21" t="s">
        <v>660</v>
      </c>
      <c r="C62" s="21" t="s">
        <v>722</v>
      </c>
      <c r="D62" s="21" t="s">
        <v>489</v>
      </c>
      <c r="E62" s="22" t="s">
        <v>357</v>
      </c>
      <c r="F62" s="19">
        <v>25</v>
      </c>
      <c r="G62" s="19">
        <v>32</v>
      </c>
      <c r="H62" s="19">
        <f>IF(OR(F62="",G62=""),"",F62*G62)</f>
      </c>
      <c r="I62" s="21" t="s">
        <v>613</v>
      </c>
    </row>
    <row r="63" ht="32" customHeight="1" spans="1:9" x14ac:dyDescent="0.25">
      <c r="A63" s="18" t="s">
        <v>723</v>
      </c>
      <c r="B63" s="4" t="s">
        <v>660</v>
      </c>
      <c r="C63" s="4" t="s">
        <v>724</v>
      </c>
      <c r="D63" s="4" t="s">
        <v>489</v>
      </c>
      <c r="E63" s="7" t="s">
        <v>357</v>
      </c>
      <c r="F63" s="19">
        <v>25</v>
      </c>
      <c r="G63" s="19">
        <v>32</v>
      </c>
      <c r="H63" s="19">
        <f>IF(OR(F63="",G63=""),"",F63*G63)</f>
      </c>
      <c r="I63" s="4" t="s">
        <v>613</v>
      </c>
    </row>
    <row r="64" ht="32" customHeight="1" spans="1:9" x14ac:dyDescent="0.25">
      <c r="A64" s="20" t="s">
        <v>725</v>
      </c>
      <c r="B64" s="21" t="s">
        <v>660</v>
      </c>
      <c r="C64" s="21" t="s">
        <v>726</v>
      </c>
      <c r="D64" s="21" t="s">
        <v>489</v>
      </c>
      <c r="E64" s="22" t="s">
        <v>357</v>
      </c>
      <c r="F64" s="19">
        <v>25</v>
      </c>
      <c r="G64" s="19">
        <v>32</v>
      </c>
      <c r="H64" s="19">
        <f>IF(OR(F64="",G64=""),"",F64*G64)</f>
      </c>
      <c r="I64" s="21" t="s">
        <v>613</v>
      </c>
    </row>
    <row r="65" ht="32" customHeight="1" spans="1:9" x14ac:dyDescent="0.25">
      <c r="A65" s="18" t="s">
        <v>727</v>
      </c>
      <c r="B65" s="4" t="s">
        <v>660</v>
      </c>
      <c r="C65" s="4" t="s">
        <v>728</v>
      </c>
      <c r="D65" s="4" t="s">
        <v>489</v>
      </c>
      <c r="E65" s="7" t="s">
        <v>357</v>
      </c>
      <c r="F65" s="19">
        <v>25</v>
      </c>
      <c r="G65" s="19">
        <v>32</v>
      </c>
      <c r="H65" s="19">
        <f>IF(OR(F65="",G65=""),"",F65*G65)</f>
      </c>
      <c r="I65" s="4" t="s">
        <v>613</v>
      </c>
    </row>
    <row r="66" ht="32" customHeight="1" spans="1:9" x14ac:dyDescent="0.25">
      <c r="A66" s="20" t="s">
        <v>729</v>
      </c>
      <c r="B66" s="21" t="s">
        <v>660</v>
      </c>
      <c r="C66" s="21" t="s">
        <v>730</v>
      </c>
      <c r="D66" s="21" t="s">
        <v>489</v>
      </c>
      <c r="E66" s="22" t="s">
        <v>357</v>
      </c>
      <c r="F66" s="19">
        <v>25</v>
      </c>
      <c r="G66" s="19">
        <v>32</v>
      </c>
      <c r="H66" s="19">
        <f>IF(OR(F66="",G66=""),"",F66*G66)</f>
      </c>
      <c r="I66" s="21" t="s">
        <v>613</v>
      </c>
    </row>
    <row r="67" ht="32" customHeight="1" spans="1:9" x14ac:dyDescent="0.25">
      <c r="A67" s="18" t="s">
        <v>731</v>
      </c>
      <c r="B67" s="4" t="s">
        <v>660</v>
      </c>
      <c r="C67" s="4" t="s">
        <v>732</v>
      </c>
      <c r="D67" s="4" t="s">
        <v>489</v>
      </c>
      <c r="E67" s="7" t="s">
        <v>357</v>
      </c>
      <c r="F67" s="19">
        <v>25</v>
      </c>
      <c r="G67" s="19">
        <v>32</v>
      </c>
      <c r="H67" s="19">
        <f>IF(OR(F67="",G67=""),"",F67*G67)</f>
      </c>
      <c r="I67" s="4" t="s">
        <v>613</v>
      </c>
    </row>
    <row r="68" ht="18" customHeight="1" spans="1:9" x14ac:dyDescent="0.25">
      <c r="A68" s="20" t="s">
        <v>733</v>
      </c>
      <c r="B68" s="21" t="s">
        <v>660</v>
      </c>
      <c r="C68" s="21" t="s">
        <v>734</v>
      </c>
      <c r="D68" s="21" t="s">
        <v>489</v>
      </c>
      <c r="E68" s="22" t="s">
        <v>357</v>
      </c>
      <c r="F68" s="19">
        <v>25</v>
      </c>
      <c r="G68" s="19">
        <v>32</v>
      </c>
      <c r="H68" s="19">
        <f>IF(OR(F68="",G68=""),"",F68*G68)</f>
      </c>
      <c r="I68" s="21" t="s">
        <v>613</v>
      </c>
    </row>
    <row r="69" ht="18" customHeight="1" spans="1:9" x14ac:dyDescent="0.25">
      <c r="A69" s="18" t="s">
        <v>735</v>
      </c>
      <c r="B69" s="4" t="s">
        <v>660</v>
      </c>
      <c r="C69" s="4" t="s">
        <v>736</v>
      </c>
      <c r="D69" s="4" t="s">
        <v>489</v>
      </c>
      <c r="E69" s="7" t="s">
        <v>357</v>
      </c>
      <c r="F69" s="19">
        <v>25</v>
      </c>
      <c r="G69" s="19">
        <v>32</v>
      </c>
      <c r="H69" s="19">
        <f>IF(OR(F69="",G69=""),"",F69*G69)</f>
      </c>
      <c r="I69" s="4" t="s">
        <v>613</v>
      </c>
    </row>
    <row r="70" ht="18" customHeight="1" spans="1:9" x14ac:dyDescent="0.25">
      <c r="A70" s="20" t="s">
        <v>737</v>
      </c>
      <c r="B70" s="21" t="s">
        <v>660</v>
      </c>
      <c r="C70" s="21" t="s">
        <v>738</v>
      </c>
      <c r="D70" s="21" t="s">
        <v>489</v>
      </c>
      <c r="E70" s="22" t="s">
        <v>357</v>
      </c>
      <c r="F70" s="19">
        <v>25</v>
      </c>
      <c r="G70" s="19">
        <v>32</v>
      </c>
      <c r="H70" s="19">
        <f>IF(OR(F70="",G70=""),"",F70*G70)</f>
      </c>
      <c r="I70" s="21" t="s">
        <v>613</v>
      </c>
    </row>
    <row r="71" ht="18" customHeight="1" spans="1:9" x14ac:dyDescent="0.25">
      <c r="A71" s="18" t="s">
        <v>739</v>
      </c>
      <c r="B71" s="4" t="s">
        <v>660</v>
      </c>
      <c r="C71" s="4" t="s">
        <v>740</v>
      </c>
      <c r="D71" s="4" t="s">
        <v>489</v>
      </c>
      <c r="E71" s="7" t="s">
        <v>357</v>
      </c>
      <c r="F71" s="19">
        <v>25</v>
      </c>
      <c r="G71" s="19">
        <v>32</v>
      </c>
      <c r="H71" s="19">
        <f>IF(OR(F71="",G71=""),"",F71*G71)</f>
      </c>
      <c r="I71" s="4" t="s">
        <v>613</v>
      </c>
    </row>
    <row r="72" ht="18" customHeight="1" spans="1:9" x14ac:dyDescent="0.25">
      <c r="A72" s="20" t="s">
        <v>741</v>
      </c>
      <c r="B72" s="21" t="s">
        <v>660</v>
      </c>
      <c r="C72" s="21" t="s">
        <v>742</v>
      </c>
      <c r="D72" s="21" t="s">
        <v>489</v>
      </c>
      <c r="E72" s="22" t="s">
        <v>357</v>
      </c>
      <c r="F72" s="19">
        <v>25</v>
      </c>
      <c r="G72" s="19">
        <v>32</v>
      </c>
      <c r="H72" s="19">
        <f>IF(OR(F72="",G72=""),"",F72*G72)</f>
      </c>
      <c r="I72" s="21" t="s">
        <v>613</v>
      </c>
    </row>
    <row r="73" ht="18" customHeight="1" spans="1:9" x14ac:dyDescent="0.25">
      <c r="A73" s="18" t="s">
        <v>743</v>
      </c>
      <c r="B73" s="4" t="s">
        <v>660</v>
      </c>
      <c r="C73" s="4" t="s">
        <v>744</v>
      </c>
      <c r="D73" s="4" t="s">
        <v>489</v>
      </c>
      <c r="E73" s="7" t="s">
        <v>357</v>
      </c>
      <c r="F73" s="19">
        <v>25</v>
      </c>
      <c r="G73" s="19">
        <v>32</v>
      </c>
      <c r="H73" s="19">
        <f>IF(OR(F73="",G73=""),"",F73*G73)</f>
      </c>
      <c r="I73" s="4" t="s">
        <v>613</v>
      </c>
    </row>
    <row r="74" ht="18" customHeight="1" spans="1:9" x14ac:dyDescent="0.25">
      <c r="A74" s="20" t="s">
        <v>745</v>
      </c>
      <c r="B74" s="21" t="s">
        <v>660</v>
      </c>
      <c r="C74" s="21" t="s">
        <v>746</v>
      </c>
      <c r="D74" s="21" t="s">
        <v>489</v>
      </c>
      <c r="E74" s="22" t="s">
        <v>357</v>
      </c>
      <c r="F74" s="19">
        <v>25</v>
      </c>
      <c r="G74" s="19">
        <v>32</v>
      </c>
      <c r="H74" s="19">
        <f>IF(OR(F74="",G74=""),"",F74*G74)</f>
      </c>
      <c r="I74" s="21" t="s">
        <v>613</v>
      </c>
    </row>
    <row r="75" ht="18" customHeight="1" spans="1:9" x14ac:dyDescent="0.25">
      <c r="A75" s="18" t="s">
        <v>747</v>
      </c>
      <c r="B75" s="4" t="s">
        <v>660</v>
      </c>
      <c r="C75" s="4" t="s">
        <v>748</v>
      </c>
      <c r="D75" s="4" t="s">
        <v>489</v>
      </c>
      <c r="E75" s="7" t="s">
        <v>357</v>
      </c>
      <c r="F75" s="19">
        <v>25</v>
      </c>
      <c r="G75" s="19">
        <v>32</v>
      </c>
      <c r="H75" s="19">
        <f>IF(OR(F75="",G75=""),"",F75*G75)</f>
      </c>
      <c r="I75" s="4" t="s">
        <v>613</v>
      </c>
    </row>
    <row r="76" ht="18" customHeight="1" spans="1:9" x14ac:dyDescent="0.25">
      <c r="A76" s="20" t="s">
        <v>749</v>
      </c>
      <c r="B76" s="21" t="s">
        <v>660</v>
      </c>
      <c r="C76" s="21" t="s">
        <v>750</v>
      </c>
      <c r="D76" s="21" t="s">
        <v>489</v>
      </c>
      <c r="E76" s="22" t="s">
        <v>357</v>
      </c>
      <c r="F76" s="19">
        <v>25</v>
      </c>
      <c r="G76" s="19">
        <v>32</v>
      </c>
      <c r="H76" s="19">
        <f>IF(OR(F76="",G76=""),"",F76*G76)</f>
      </c>
      <c r="I76" s="21" t="s">
        <v>613</v>
      </c>
    </row>
    <row r="77" ht="32" customHeight="1" spans="1:9" x14ac:dyDescent="0.25">
      <c r="A77" s="18" t="s">
        <v>751</v>
      </c>
      <c r="B77" s="4" t="s">
        <v>660</v>
      </c>
      <c r="C77" s="4" t="s">
        <v>752</v>
      </c>
      <c r="D77" s="4" t="s">
        <v>489</v>
      </c>
      <c r="E77" s="7" t="s">
        <v>357</v>
      </c>
      <c r="F77" s="19">
        <v>25</v>
      </c>
      <c r="G77" s="19">
        <v>32</v>
      </c>
      <c r="H77" s="19">
        <f>IF(OR(F77="",G77=""),"",F77*G77)</f>
      </c>
      <c r="I77" s="4" t="s">
        <v>613</v>
      </c>
    </row>
    <row r="78" ht="32" customHeight="1" spans="1:9" x14ac:dyDescent="0.25">
      <c r="A78" s="20" t="s">
        <v>753</v>
      </c>
      <c r="B78" s="21" t="s">
        <v>660</v>
      </c>
      <c r="C78" s="21" t="s">
        <v>754</v>
      </c>
      <c r="D78" s="21" t="s">
        <v>489</v>
      </c>
      <c r="E78" s="22" t="s">
        <v>357</v>
      </c>
      <c r="F78" s="19">
        <v>25</v>
      </c>
      <c r="G78" s="19">
        <v>32</v>
      </c>
      <c r="H78" s="19">
        <f>IF(OR(F78="",G78=""),"",F78*G78)</f>
      </c>
      <c r="I78" s="21" t="s">
        <v>613</v>
      </c>
    </row>
    <row r="79" ht="32" customHeight="1" spans="1:9" x14ac:dyDescent="0.25">
      <c r="A79" s="18" t="s">
        <v>755</v>
      </c>
      <c r="B79" s="4" t="s">
        <v>660</v>
      </c>
      <c r="C79" s="4" t="s">
        <v>756</v>
      </c>
      <c r="D79" s="4" t="s">
        <v>489</v>
      </c>
      <c r="E79" s="7" t="s">
        <v>357</v>
      </c>
      <c r="F79" s="19">
        <v>25</v>
      </c>
      <c r="G79" s="19">
        <v>32</v>
      </c>
      <c r="H79" s="19">
        <f>IF(OR(F79="",G79=""),"",F79*G79)</f>
      </c>
      <c r="I79" s="4" t="s">
        <v>613</v>
      </c>
    </row>
    <row r="80" ht="32" customHeight="1" spans="1:9" x14ac:dyDescent="0.25">
      <c r="A80" s="20" t="s">
        <v>757</v>
      </c>
      <c r="B80" s="21" t="s">
        <v>660</v>
      </c>
      <c r="C80" s="21" t="s">
        <v>758</v>
      </c>
      <c r="D80" s="21" t="s">
        <v>489</v>
      </c>
      <c r="E80" s="22" t="s">
        <v>357</v>
      </c>
      <c r="F80" s="19">
        <v>25</v>
      </c>
      <c r="G80" s="19">
        <v>32</v>
      </c>
      <c r="H80" s="19">
        <f>IF(OR(F80="",G80=""),"",F80*G80)</f>
      </c>
      <c r="I80" s="21" t="s">
        <v>613</v>
      </c>
    </row>
    <row r="81" ht="32" customHeight="1" spans="1:9" x14ac:dyDescent="0.25">
      <c r="A81" s="18" t="s">
        <v>759</v>
      </c>
      <c r="B81" s="4" t="s">
        <v>660</v>
      </c>
      <c r="C81" s="4" t="s">
        <v>760</v>
      </c>
      <c r="D81" s="4" t="s">
        <v>489</v>
      </c>
      <c r="E81" s="7" t="s">
        <v>357</v>
      </c>
      <c r="F81" s="19">
        <v>25</v>
      </c>
      <c r="G81" s="19">
        <v>32</v>
      </c>
      <c r="H81" s="19">
        <f>IF(OR(F81="",G81=""),"",F81*G81)</f>
      </c>
      <c r="I81" s="4" t="s">
        <v>613</v>
      </c>
    </row>
    <row r="82" ht="32" customHeight="1" spans="1:9" x14ac:dyDescent="0.25">
      <c r="A82" s="20" t="s">
        <v>761</v>
      </c>
      <c r="B82" s="21" t="s">
        <v>660</v>
      </c>
      <c r="C82" s="21" t="s">
        <v>762</v>
      </c>
      <c r="D82" s="21" t="s">
        <v>489</v>
      </c>
      <c r="E82" s="22" t="s">
        <v>357</v>
      </c>
      <c r="F82" s="19">
        <v>25</v>
      </c>
      <c r="G82" s="19">
        <v>32</v>
      </c>
      <c r="H82" s="19">
        <f>IF(OR(F82="",G82=""),"",F82*G82)</f>
      </c>
      <c r="I82" s="21" t="s">
        <v>613</v>
      </c>
    </row>
    <row r="83" ht="18" customHeight="1" spans="1:9" x14ac:dyDescent="0.25">
      <c r="A83" s="18" t="s">
        <v>763</v>
      </c>
      <c r="B83" s="4" t="s">
        <v>660</v>
      </c>
      <c r="C83" s="4" t="s">
        <v>764</v>
      </c>
      <c r="D83" s="4" t="s">
        <v>489</v>
      </c>
      <c r="E83" s="7" t="s">
        <v>357</v>
      </c>
      <c r="F83" s="19">
        <v>25</v>
      </c>
      <c r="G83" s="19">
        <v>32</v>
      </c>
      <c r="H83" s="19">
        <f>IF(OR(F83="",G83=""),"",F83*G83)</f>
      </c>
      <c r="I83" s="4" t="s">
        <v>613</v>
      </c>
    </row>
    <row r="84" ht="18" customHeight="1" spans="1:9" x14ac:dyDescent="0.25">
      <c r="A84" s="20" t="s">
        <v>765</v>
      </c>
      <c r="B84" s="21" t="s">
        <v>660</v>
      </c>
      <c r="C84" s="21" t="s">
        <v>766</v>
      </c>
      <c r="D84" s="21" t="s">
        <v>489</v>
      </c>
      <c r="E84" s="22" t="s">
        <v>357</v>
      </c>
      <c r="F84" s="19">
        <v>25</v>
      </c>
      <c r="G84" s="19">
        <v>32</v>
      </c>
      <c r="H84" s="19">
        <f>IF(OR(F84="",G84=""),"",F84*G84)</f>
      </c>
      <c r="I84" s="21" t="s">
        <v>613</v>
      </c>
    </row>
    <row r="85" ht="18" customHeight="1" spans="1:9" x14ac:dyDescent="0.25">
      <c r="A85" s="18" t="s">
        <v>767</v>
      </c>
      <c r="B85" s="4" t="s">
        <v>660</v>
      </c>
      <c r="C85" s="4" t="s">
        <v>768</v>
      </c>
      <c r="D85" s="4" t="s">
        <v>489</v>
      </c>
      <c r="E85" s="7" t="s">
        <v>357</v>
      </c>
      <c r="F85" s="19">
        <v>25</v>
      </c>
      <c r="G85" s="19">
        <v>32</v>
      </c>
      <c r="H85" s="19">
        <f>IF(OR(F85="",G85=""),"",F85*G85)</f>
      </c>
      <c r="I85" s="4" t="s">
        <v>613</v>
      </c>
    </row>
    <row r="86" ht="18" customHeight="1" spans="1:9" x14ac:dyDescent="0.25">
      <c r="A86" s="20" t="s">
        <v>769</v>
      </c>
      <c r="B86" s="21" t="s">
        <v>660</v>
      </c>
      <c r="C86" s="21" t="s">
        <v>770</v>
      </c>
      <c r="D86" s="21" t="s">
        <v>489</v>
      </c>
      <c r="E86" s="22" t="s">
        <v>357</v>
      </c>
      <c r="F86" s="19">
        <v>25</v>
      </c>
      <c r="G86" s="19">
        <v>32</v>
      </c>
      <c r="H86" s="19">
        <f>IF(OR(F86="",G86=""),"",F86*G86)</f>
      </c>
      <c r="I86" s="21" t="s">
        <v>613</v>
      </c>
    </row>
    <row r="87" ht="18" customHeight="1" spans="1:9" x14ac:dyDescent="0.25">
      <c r="A87" s="18" t="s">
        <v>771</v>
      </c>
      <c r="B87" s="4" t="s">
        <v>660</v>
      </c>
      <c r="C87" s="4" t="s">
        <v>772</v>
      </c>
      <c r="D87" s="4" t="s">
        <v>489</v>
      </c>
      <c r="E87" s="7" t="s">
        <v>357</v>
      </c>
      <c r="F87" s="19">
        <v>25</v>
      </c>
      <c r="G87" s="19">
        <v>32</v>
      </c>
      <c r="H87" s="19">
        <f>IF(OR(F87="",G87=""),"",F87*G87)</f>
      </c>
      <c r="I87" s="4" t="s">
        <v>613</v>
      </c>
    </row>
    <row r="88" ht="18" customHeight="1" spans="1:9" x14ac:dyDescent="0.25">
      <c r="A88" s="20" t="s">
        <v>773</v>
      </c>
      <c r="B88" s="21" t="s">
        <v>660</v>
      </c>
      <c r="C88" s="21" t="s">
        <v>774</v>
      </c>
      <c r="D88" s="21" t="s">
        <v>489</v>
      </c>
      <c r="E88" s="22" t="s">
        <v>357</v>
      </c>
      <c r="F88" s="19">
        <v>25</v>
      </c>
      <c r="G88" s="19">
        <v>32</v>
      </c>
      <c r="H88" s="19">
        <f>IF(OR(F88="",G88=""),"",F88*G88)</f>
      </c>
      <c r="I88" s="21" t="s">
        <v>613</v>
      </c>
    </row>
    <row r="89" ht="18" customHeight="1" spans="1:9" x14ac:dyDescent="0.25">
      <c r="A89" s="18" t="s">
        <v>775</v>
      </c>
      <c r="B89" s="4" t="s">
        <v>660</v>
      </c>
      <c r="C89" s="4" t="s">
        <v>776</v>
      </c>
      <c r="D89" s="4" t="s">
        <v>489</v>
      </c>
      <c r="E89" s="7" t="s">
        <v>357</v>
      </c>
      <c r="F89" s="19">
        <v>25</v>
      </c>
      <c r="G89" s="19">
        <v>32</v>
      </c>
      <c r="H89" s="19">
        <f>IF(OR(F89="",G89=""),"",F89*G89)</f>
      </c>
      <c r="I89" s="4" t="s">
        <v>613</v>
      </c>
    </row>
    <row r="90" ht="18" customHeight="1" spans="1:9" x14ac:dyDescent="0.25">
      <c r="A90" s="20" t="s">
        <v>777</v>
      </c>
      <c r="B90" s="21" t="s">
        <v>660</v>
      </c>
      <c r="C90" s="21" t="s">
        <v>778</v>
      </c>
      <c r="D90" s="21" t="s">
        <v>489</v>
      </c>
      <c r="E90" s="22" t="s">
        <v>357</v>
      </c>
      <c r="F90" s="19">
        <v>25</v>
      </c>
      <c r="G90" s="19">
        <v>32</v>
      </c>
      <c r="H90" s="19">
        <f>IF(OR(F90="",G90=""),"",F90*G90)</f>
      </c>
      <c r="I90" s="21" t="s">
        <v>613</v>
      </c>
    </row>
    <row r="91" ht="18" customHeight="1" spans="1:9" x14ac:dyDescent="0.25">
      <c r="A91" s="18" t="s">
        <v>779</v>
      </c>
      <c r="B91" s="4" t="s">
        <v>660</v>
      </c>
      <c r="C91" s="4" t="s">
        <v>780</v>
      </c>
      <c r="D91" s="4" t="s">
        <v>489</v>
      </c>
      <c r="E91" s="7" t="s">
        <v>357</v>
      </c>
      <c r="F91" s="19">
        <v>25</v>
      </c>
      <c r="G91" s="19">
        <v>32</v>
      </c>
      <c r="H91" s="19">
        <f>IF(OR(F91="",G91=""),"",F91*G91)</f>
      </c>
      <c r="I91" s="4" t="s">
        <v>613</v>
      </c>
    </row>
    <row r="92" ht="32" customHeight="1" spans="1:9" x14ac:dyDescent="0.25">
      <c r="A92" s="20" t="s">
        <v>781</v>
      </c>
      <c r="B92" s="21" t="s">
        <v>660</v>
      </c>
      <c r="C92" s="21" t="s">
        <v>782</v>
      </c>
      <c r="D92" s="21" t="s">
        <v>489</v>
      </c>
      <c r="E92" s="22" t="s">
        <v>357</v>
      </c>
      <c r="F92" s="19">
        <v>25</v>
      </c>
      <c r="G92" s="19">
        <v>32</v>
      </c>
      <c r="H92" s="19">
        <f>IF(OR(F92="",G92=""),"",F92*G92)</f>
      </c>
      <c r="I92" s="21" t="s">
        <v>613</v>
      </c>
    </row>
    <row r="93" ht="32" customHeight="1" spans="1:9" x14ac:dyDescent="0.25">
      <c r="A93" s="18" t="s">
        <v>783</v>
      </c>
      <c r="B93" s="4" t="s">
        <v>660</v>
      </c>
      <c r="C93" s="4" t="s">
        <v>784</v>
      </c>
      <c r="D93" s="4" t="s">
        <v>489</v>
      </c>
      <c r="E93" s="7" t="s">
        <v>357</v>
      </c>
      <c r="F93" s="19">
        <v>25</v>
      </c>
      <c r="G93" s="19">
        <v>32</v>
      </c>
      <c r="H93" s="19">
        <f>IF(OR(F93="",G93=""),"",F93*G93)</f>
      </c>
      <c r="I93" s="4" t="s">
        <v>613</v>
      </c>
    </row>
    <row r="94" ht="32" customHeight="1" spans="1:9" x14ac:dyDescent="0.25">
      <c r="A94" s="20" t="s">
        <v>785</v>
      </c>
      <c r="B94" s="21" t="s">
        <v>660</v>
      </c>
      <c r="C94" s="21" t="s">
        <v>786</v>
      </c>
      <c r="D94" s="21" t="s">
        <v>489</v>
      </c>
      <c r="E94" s="22" t="s">
        <v>357</v>
      </c>
      <c r="F94" s="19">
        <v>25</v>
      </c>
      <c r="G94" s="19">
        <v>32</v>
      </c>
      <c r="H94" s="19">
        <f>IF(OR(F94="",G94=""),"",F94*G94)</f>
      </c>
      <c r="I94" s="21" t="s">
        <v>613</v>
      </c>
    </row>
    <row r="95" ht="32" customHeight="1" spans="1:9" x14ac:dyDescent="0.25">
      <c r="A95" s="18" t="s">
        <v>787</v>
      </c>
      <c r="B95" s="4" t="s">
        <v>660</v>
      </c>
      <c r="C95" s="4" t="s">
        <v>788</v>
      </c>
      <c r="D95" s="4" t="s">
        <v>489</v>
      </c>
      <c r="E95" s="7" t="s">
        <v>357</v>
      </c>
      <c r="F95" s="19">
        <v>25</v>
      </c>
      <c r="G95" s="19">
        <v>32</v>
      </c>
      <c r="H95" s="19">
        <f>IF(OR(F95="",G95=""),"",F95*G95)</f>
      </c>
      <c r="I95" s="4" t="s">
        <v>613</v>
      </c>
    </row>
    <row r="96" ht="32" customHeight="1" spans="1:9" x14ac:dyDescent="0.25">
      <c r="A96" s="20" t="s">
        <v>789</v>
      </c>
      <c r="B96" s="21" t="s">
        <v>660</v>
      </c>
      <c r="C96" s="21" t="s">
        <v>790</v>
      </c>
      <c r="D96" s="21" t="s">
        <v>489</v>
      </c>
      <c r="E96" s="22" t="s">
        <v>357</v>
      </c>
      <c r="F96" s="19">
        <v>25</v>
      </c>
      <c r="G96" s="19">
        <v>32</v>
      </c>
      <c r="H96" s="19">
        <f>IF(OR(F96="",G96=""),"",F96*G96)</f>
      </c>
      <c r="I96" s="21" t="s">
        <v>613</v>
      </c>
    </row>
    <row r="97" ht="32" customHeight="1" spans="1:9" x14ac:dyDescent="0.25">
      <c r="A97" s="18" t="s">
        <v>791</v>
      </c>
      <c r="B97" s="4" t="s">
        <v>660</v>
      </c>
      <c r="C97" s="4" t="s">
        <v>792</v>
      </c>
      <c r="D97" s="4" t="s">
        <v>489</v>
      </c>
      <c r="E97" s="7" t="s">
        <v>357</v>
      </c>
      <c r="F97" s="19">
        <v>25</v>
      </c>
      <c r="G97" s="19">
        <v>32</v>
      </c>
      <c r="H97" s="19">
        <f>IF(OR(F97="",G97=""),"",F97*G97)</f>
      </c>
      <c r="I97" s="4" t="s">
        <v>613</v>
      </c>
    </row>
    <row r="98" ht="18" customHeight="1" spans="1:9" x14ac:dyDescent="0.25">
      <c r="A98" s="20" t="s">
        <v>793</v>
      </c>
      <c r="B98" s="21" t="s">
        <v>660</v>
      </c>
      <c r="C98" s="21" t="s">
        <v>794</v>
      </c>
      <c r="D98" s="21" t="s">
        <v>489</v>
      </c>
      <c r="E98" s="22" t="s">
        <v>357</v>
      </c>
      <c r="F98" s="19">
        <v>25</v>
      </c>
      <c r="G98" s="19">
        <v>32</v>
      </c>
      <c r="H98" s="19">
        <f>IF(OR(F98="",G98=""),"",F98*G98)</f>
      </c>
      <c r="I98" s="21" t="s">
        <v>613</v>
      </c>
    </row>
    <row r="99" ht="18" customHeight="1" spans="1:9" x14ac:dyDescent="0.25">
      <c r="A99" s="18" t="s">
        <v>795</v>
      </c>
      <c r="B99" s="4" t="s">
        <v>660</v>
      </c>
      <c r="C99" s="4" t="s">
        <v>796</v>
      </c>
      <c r="D99" s="4" t="s">
        <v>489</v>
      </c>
      <c r="E99" s="7" t="s">
        <v>357</v>
      </c>
      <c r="F99" s="19">
        <v>25</v>
      </c>
      <c r="G99" s="19">
        <v>32</v>
      </c>
      <c r="H99" s="19">
        <f>IF(OR(F99="",G99=""),"",F99*G99)</f>
      </c>
      <c r="I99" s="4" t="s">
        <v>613</v>
      </c>
    </row>
    <row r="100" ht="18" customHeight="1" spans="1:9" x14ac:dyDescent="0.25">
      <c r="A100" s="20" t="s">
        <v>797</v>
      </c>
      <c r="B100" s="21" t="s">
        <v>660</v>
      </c>
      <c r="C100" s="21" t="s">
        <v>798</v>
      </c>
      <c r="D100" s="21" t="s">
        <v>489</v>
      </c>
      <c r="E100" s="22" t="s">
        <v>357</v>
      </c>
      <c r="F100" s="19">
        <v>25</v>
      </c>
      <c r="G100" s="19">
        <v>32</v>
      </c>
      <c r="H100" s="19">
        <f>IF(OR(F100="",G100=""),"",F100*G100)</f>
      </c>
      <c r="I100" s="21" t="s">
        <v>613</v>
      </c>
    </row>
    <row r="101" ht="18" customHeight="1" spans="1:9" x14ac:dyDescent="0.25">
      <c r="A101" s="18" t="s">
        <v>799</v>
      </c>
      <c r="B101" s="4" t="s">
        <v>660</v>
      </c>
      <c r="C101" s="4" t="s">
        <v>800</v>
      </c>
      <c r="D101" s="4" t="s">
        <v>489</v>
      </c>
      <c r="E101" s="7" t="s">
        <v>357</v>
      </c>
      <c r="F101" s="19">
        <v>25</v>
      </c>
      <c r="G101" s="19">
        <v>32</v>
      </c>
      <c r="H101" s="19">
        <f>IF(OR(F101="",G101=""),"",F101*G101)</f>
      </c>
      <c r="I101" s="4" t="s">
        <v>613</v>
      </c>
    </row>
    <row r="102" ht="18" customHeight="1" spans="1:9" x14ac:dyDescent="0.25">
      <c r="A102" s="20" t="s">
        <v>801</v>
      </c>
      <c r="B102" s="21" t="s">
        <v>660</v>
      </c>
      <c r="C102" s="21" t="s">
        <v>802</v>
      </c>
      <c r="D102" s="21" t="s">
        <v>489</v>
      </c>
      <c r="E102" s="22" t="s">
        <v>357</v>
      </c>
      <c r="F102" s="19">
        <v>25</v>
      </c>
      <c r="G102" s="19">
        <v>32</v>
      </c>
      <c r="H102" s="19">
        <f>IF(OR(F102="",G102=""),"",F102*G102)</f>
      </c>
      <c r="I102" s="21" t="s">
        <v>613</v>
      </c>
    </row>
    <row r="103" ht="18" customHeight="1" spans="1:9" x14ac:dyDescent="0.25">
      <c r="A103" s="18" t="s">
        <v>803</v>
      </c>
      <c r="B103" s="4" t="s">
        <v>660</v>
      </c>
      <c r="C103" s="4" t="s">
        <v>804</v>
      </c>
      <c r="D103" s="4" t="s">
        <v>489</v>
      </c>
      <c r="E103" s="7" t="s">
        <v>357</v>
      </c>
      <c r="F103" s="19">
        <v>25</v>
      </c>
      <c r="G103" s="19">
        <v>32</v>
      </c>
      <c r="H103" s="19">
        <f>IF(OR(F103="",G103=""),"",F103*G103)</f>
      </c>
      <c r="I103" s="4" t="s">
        <v>613</v>
      </c>
    </row>
    <row r="104" ht="18" customHeight="1" spans="1:9" x14ac:dyDescent="0.25">
      <c r="A104" s="20" t="s">
        <v>805</v>
      </c>
      <c r="B104" s="21" t="s">
        <v>660</v>
      </c>
      <c r="C104" s="21" t="s">
        <v>806</v>
      </c>
      <c r="D104" s="21" t="s">
        <v>489</v>
      </c>
      <c r="E104" s="22" t="s">
        <v>357</v>
      </c>
      <c r="F104" s="19">
        <v>25</v>
      </c>
      <c r="G104" s="19">
        <v>32</v>
      </c>
      <c r="H104" s="19">
        <f>IF(OR(F104="",G104=""),"",F104*G104)</f>
      </c>
      <c r="I104" s="21" t="s">
        <v>613</v>
      </c>
    </row>
    <row r="105" ht="18" customHeight="1" spans="1:9" x14ac:dyDescent="0.25">
      <c r="A105" s="18" t="s">
        <v>807</v>
      </c>
      <c r="B105" s="4" t="s">
        <v>660</v>
      </c>
      <c r="C105" s="4" t="s">
        <v>808</v>
      </c>
      <c r="D105" s="4" t="s">
        <v>489</v>
      </c>
      <c r="E105" s="7" t="s">
        <v>357</v>
      </c>
      <c r="F105" s="19">
        <v>25</v>
      </c>
      <c r="G105" s="19">
        <v>32</v>
      </c>
      <c r="H105" s="19">
        <f>IF(OR(F105="",G105=""),"",F105*G105)</f>
      </c>
      <c r="I105" s="4" t="s">
        <v>613</v>
      </c>
    </row>
    <row r="106" ht="18" customHeight="1" spans="1:9" x14ac:dyDescent="0.25">
      <c r="A106" s="20" t="s">
        <v>809</v>
      </c>
      <c r="B106" s="21" t="s">
        <v>660</v>
      </c>
      <c r="C106" s="21" t="s">
        <v>810</v>
      </c>
      <c r="D106" s="21" t="s">
        <v>489</v>
      </c>
      <c r="E106" s="22" t="s">
        <v>357</v>
      </c>
      <c r="F106" s="19">
        <v>25</v>
      </c>
      <c r="G106" s="19">
        <v>32</v>
      </c>
      <c r="H106" s="19">
        <f>IF(OR(F106="",G106=""),"",F106*G106)</f>
      </c>
      <c r="I106" s="21" t="s">
        <v>613</v>
      </c>
    </row>
    <row r="107" ht="32" customHeight="1" spans="1:9" x14ac:dyDescent="0.25">
      <c r="A107" s="18" t="s">
        <v>811</v>
      </c>
      <c r="B107" s="4" t="s">
        <v>660</v>
      </c>
      <c r="C107" s="4" t="s">
        <v>812</v>
      </c>
      <c r="D107" s="4" t="s">
        <v>489</v>
      </c>
      <c r="E107" s="7" t="s">
        <v>357</v>
      </c>
      <c r="F107" s="19">
        <v>25</v>
      </c>
      <c r="G107" s="19">
        <v>32</v>
      </c>
      <c r="H107" s="19">
        <f>IF(OR(F107="",G107=""),"",F107*G107)</f>
      </c>
      <c r="I107" s="4" t="s">
        <v>613</v>
      </c>
    </row>
    <row r="108" ht="32" customHeight="1" spans="1:9" x14ac:dyDescent="0.25">
      <c r="A108" s="20" t="s">
        <v>813</v>
      </c>
      <c r="B108" s="21" t="s">
        <v>660</v>
      </c>
      <c r="C108" s="21" t="s">
        <v>814</v>
      </c>
      <c r="D108" s="21" t="s">
        <v>489</v>
      </c>
      <c r="E108" s="22" t="s">
        <v>357</v>
      </c>
      <c r="F108" s="19">
        <v>25</v>
      </c>
      <c r="G108" s="19">
        <v>32</v>
      </c>
      <c r="H108" s="19">
        <f>IF(OR(F108="",G108=""),"",F108*G108)</f>
      </c>
      <c r="I108" s="21" t="s">
        <v>613</v>
      </c>
    </row>
    <row r="109" ht="32" customHeight="1" spans="1:9" x14ac:dyDescent="0.25">
      <c r="A109" s="18" t="s">
        <v>815</v>
      </c>
      <c r="B109" s="4" t="s">
        <v>660</v>
      </c>
      <c r="C109" s="4" t="s">
        <v>816</v>
      </c>
      <c r="D109" s="4" t="s">
        <v>489</v>
      </c>
      <c r="E109" s="7" t="s">
        <v>357</v>
      </c>
      <c r="F109" s="19">
        <v>25</v>
      </c>
      <c r="G109" s="19">
        <v>32</v>
      </c>
      <c r="H109" s="19">
        <f>IF(OR(F109="",G109=""),"",F109*G109)</f>
      </c>
      <c r="I109" s="4" t="s">
        <v>613</v>
      </c>
    </row>
    <row r="110" ht="32" customHeight="1" spans="1:9" x14ac:dyDescent="0.25">
      <c r="A110" s="20" t="s">
        <v>817</v>
      </c>
      <c r="B110" s="21" t="s">
        <v>660</v>
      </c>
      <c r="C110" s="21" t="s">
        <v>818</v>
      </c>
      <c r="D110" s="21" t="s">
        <v>489</v>
      </c>
      <c r="E110" s="22" t="s">
        <v>357</v>
      </c>
      <c r="F110" s="19">
        <v>25</v>
      </c>
      <c r="G110" s="19">
        <v>32</v>
      </c>
      <c r="H110" s="19">
        <f>IF(OR(F110="",G110=""),"",F110*G110)</f>
      </c>
      <c r="I110" s="21" t="s">
        <v>613</v>
      </c>
    </row>
    <row r="111" ht="32" customHeight="1" spans="1:9" x14ac:dyDescent="0.25">
      <c r="A111" s="18" t="s">
        <v>819</v>
      </c>
      <c r="B111" s="4" t="s">
        <v>660</v>
      </c>
      <c r="C111" s="4" t="s">
        <v>820</v>
      </c>
      <c r="D111" s="4" t="s">
        <v>489</v>
      </c>
      <c r="E111" s="7" t="s">
        <v>357</v>
      </c>
      <c r="F111" s="19">
        <v>25</v>
      </c>
      <c r="G111" s="19">
        <v>32</v>
      </c>
      <c r="H111" s="19">
        <f>IF(OR(F111="",G111=""),"",F111*G111)</f>
      </c>
      <c r="I111" s="4" t="s">
        <v>613</v>
      </c>
    </row>
    <row r="112" ht="32" customHeight="1" spans="1:9" x14ac:dyDescent="0.25">
      <c r="A112" s="20" t="s">
        <v>821</v>
      </c>
      <c r="B112" s="21" t="s">
        <v>660</v>
      </c>
      <c r="C112" s="21" t="s">
        <v>822</v>
      </c>
      <c r="D112" s="21" t="s">
        <v>489</v>
      </c>
      <c r="E112" s="22" t="s">
        <v>357</v>
      </c>
      <c r="F112" s="19">
        <v>25</v>
      </c>
      <c r="G112" s="19">
        <v>32</v>
      </c>
      <c r="H112" s="19">
        <f>IF(OR(F112="",G112=""),"",F112*G112)</f>
      </c>
      <c r="I112" s="21" t="s">
        <v>613</v>
      </c>
    </row>
    <row r="113" ht="18" customHeight="1" spans="1:9" x14ac:dyDescent="0.25">
      <c r="A113" s="18" t="s">
        <v>823</v>
      </c>
      <c r="B113" s="4" t="s">
        <v>660</v>
      </c>
      <c r="C113" s="4" t="s">
        <v>824</v>
      </c>
      <c r="D113" s="4" t="s">
        <v>489</v>
      </c>
      <c r="E113" s="7" t="s">
        <v>357</v>
      </c>
      <c r="F113" s="19">
        <v>25</v>
      </c>
      <c r="G113" s="19">
        <v>32</v>
      </c>
      <c r="H113" s="19">
        <f>IF(OR(F113="",G113=""),"",F113*G113)</f>
      </c>
      <c r="I113" s="4" t="s">
        <v>613</v>
      </c>
    </row>
    <row r="114" ht="18" customHeight="1" spans="1:9" x14ac:dyDescent="0.25">
      <c r="A114" s="20" t="s">
        <v>825</v>
      </c>
      <c r="B114" s="21" t="s">
        <v>660</v>
      </c>
      <c r="C114" s="21" t="s">
        <v>826</v>
      </c>
      <c r="D114" s="21" t="s">
        <v>489</v>
      </c>
      <c r="E114" s="22" t="s">
        <v>357</v>
      </c>
      <c r="F114" s="19">
        <v>25</v>
      </c>
      <c r="G114" s="19">
        <v>32</v>
      </c>
      <c r="H114" s="19">
        <f>IF(OR(F114="",G114=""),"",F114*G114)</f>
      </c>
      <c r="I114" s="21" t="s">
        <v>613</v>
      </c>
    </row>
    <row r="115" ht="18" customHeight="1" spans="1:9" x14ac:dyDescent="0.25">
      <c r="A115" s="18" t="s">
        <v>827</v>
      </c>
      <c r="B115" s="4" t="s">
        <v>660</v>
      </c>
      <c r="C115" s="4" t="s">
        <v>828</v>
      </c>
      <c r="D115" s="4" t="s">
        <v>489</v>
      </c>
      <c r="E115" s="7" t="s">
        <v>357</v>
      </c>
      <c r="F115" s="19">
        <v>25</v>
      </c>
      <c r="G115" s="19">
        <v>32</v>
      </c>
      <c r="H115" s="19">
        <f>IF(OR(F115="",G115=""),"",F115*G115)</f>
      </c>
      <c r="I115" s="4" t="s">
        <v>613</v>
      </c>
    </row>
    <row r="116" ht="18" customHeight="1" spans="1:9" x14ac:dyDescent="0.25">
      <c r="A116" s="20" t="s">
        <v>829</v>
      </c>
      <c r="B116" s="21" t="s">
        <v>660</v>
      </c>
      <c r="C116" s="21" t="s">
        <v>830</v>
      </c>
      <c r="D116" s="21" t="s">
        <v>489</v>
      </c>
      <c r="E116" s="22" t="s">
        <v>357</v>
      </c>
      <c r="F116" s="19">
        <v>25</v>
      </c>
      <c r="G116" s="19">
        <v>32</v>
      </c>
      <c r="H116" s="19">
        <f>IF(OR(F116="",G116=""),"",F116*G116)</f>
      </c>
      <c r="I116" s="21" t="s">
        <v>613</v>
      </c>
    </row>
    <row r="117" ht="18" customHeight="1" spans="1:9" x14ac:dyDescent="0.25">
      <c r="A117" s="18" t="s">
        <v>831</v>
      </c>
      <c r="B117" s="4" t="s">
        <v>660</v>
      </c>
      <c r="C117" s="4" t="s">
        <v>832</v>
      </c>
      <c r="D117" s="4" t="s">
        <v>489</v>
      </c>
      <c r="E117" s="7" t="s">
        <v>357</v>
      </c>
      <c r="F117" s="19">
        <v>25</v>
      </c>
      <c r="G117" s="19">
        <v>32</v>
      </c>
      <c r="H117" s="19">
        <f>IF(OR(F117="",G117=""),"",F117*G117)</f>
      </c>
      <c r="I117" s="4" t="s">
        <v>613</v>
      </c>
    </row>
    <row r="118" ht="18" customHeight="1" spans="1:9" x14ac:dyDescent="0.25">
      <c r="A118" s="20" t="s">
        <v>833</v>
      </c>
      <c r="B118" s="21" t="s">
        <v>660</v>
      </c>
      <c r="C118" s="21" t="s">
        <v>834</v>
      </c>
      <c r="D118" s="21" t="s">
        <v>489</v>
      </c>
      <c r="E118" s="22" t="s">
        <v>357</v>
      </c>
      <c r="F118" s="19">
        <v>25</v>
      </c>
      <c r="G118" s="19">
        <v>32</v>
      </c>
      <c r="H118" s="19">
        <f>IF(OR(F118="",G118=""),"",F118*G118)</f>
      </c>
      <c r="I118" s="21" t="s">
        <v>613</v>
      </c>
    </row>
    <row r="119" ht="18" customHeight="1" spans="1:9" x14ac:dyDescent="0.25">
      <c r="A119" s="18" t="s">
        <v>835</v>
      </c>
      <c r="B119" s="4" t="s">
        <v>660</v>
      </c>
      <c r="C119" s="4" t="s">
        <v>836</v>
      </c>
      <c r="D119" s="4" t="s">
        <v>489</v>
      </c>
      <c r="E119" s="7" t="s">
        <v>357</v>
      </c>
      <c r="F119" s="19">
        <v>25</v>
      </c>
      <c r="G119" s="19">
        <v>32</v>
      </c>
      <c r="H119" s="19">
        <f>IF(OR(F119="",G119=""),"",F119*G119)</f>
      </c>
      <c r="I119" s="4" t="s">
        <v>613</v>
      </c>
    </row>
    <row r="120" ht="18" customHeight="1" spans="1:9" x14ac:dyDescent="0.25">
      <c r="A120" s="20" t="s">
        <v>837</v>
      </c>
      <c r="B120" s="21" t="s">
        <v>660</v>
      </c>
      <c r="C120" s="21" t="s">
        <v>838</v>
      </c>
      <c r="D120" s="21" t="s">
        <v>489</v>
      </c>
      <c r="E120" s="22" t="s">
        <v>357</v>
      </c>
      <c r="F120" s="19">
        <v>25</v>
      </c>
      <c r="G120" s="19">
        <v>32</v>
      </c>
      <c r="H120" s="19">
        <f>IF(OR(F120="",G120=""),"",F120*G120)</f>
      </c>
      <c r="I120" s="21" t="s">
        <v>613</v>
      </c>
    </row>
    <row r="121" ht="18" customHeight="1" spans="1:9" x14ac:dyDescent="0.25">
      <c r="A121" s="18" t="s">
        <v>839</v>
      </c>
      <c r="B121" s="4" t="s">
        <v>660</v>
      </c>
      <c r="C121" s="4" t="s">
        <v>840</v>
      </c>
      <c r="D121" s="4" t="s">
        <v>489</v>
      </c>
      <c r="E121" s="7" t="s">
        <v>357</v>
      </c>
      <c r="F121" s="19">
        <v>25</v>
      </c>
      <c r="G121" s="19">
        <v>32</v>
      </c>
      <c r="H121" s="19">
        <f>IF(OR(F121="",G121=""),"",F121*G121)</f>
      </c>
      <c r="I121" s="4" t="s">
        <v>613</v>
      </c>
    </row>
    <row r="122" ht="32" customHeight="1" spans="1:9" x14ac:dyDescent="0.25">
      <c r="A122" s="20" t="s">
        <v>841</v>
      </c>
      <c r="B122" s="21" t="s">
        <v>660</v>
      </c>
      <c r="C122" s="21" t="s">
        <v>842</v>
      </c>
      <c r="D122" s="21" t="s">
        <v>489</v>
      </c>
      <c r="E122" s="22" t="s">
        <v>357</v>
      </c>
      <c r="F122" s="19">
        <v>25</v>
      </c>
      <c r="G122" s="19">
        <v>32</v>
      </c>
      <c r="H122" s="19">
        <f>IF(OR(F122="",G122=""),"",F122*G122)</f>
      </c>
      <c r="I122" s="21" t="s">
        <v>613</v>
      </c>
    </row>
    <row r="123" ht="32" customHeight="1" spans="1:9" x14ac:dyDescent="0.25">
      <c r="A123" s="18" t="s">
        <v>843</v>
      </c>
      <c r="B123" s="4" t="s">
        <v>660</v>
      </c>
      <c r="C123" s="4" t="s">
        <v>844</v>
      </c>
      <c r="D123" s="4" t="s">
        <v>489</v>
      </c>
      <c r="E123" s="7" t="s">
        <v>357</v>
      </c>
      <c r="F123" s="19">
        <v>25</v>
      </c>
      <c r="G123" s="19">
        <v>32</v>
      </c>
      <c r="H123" s="19">
        <f>IF(OR(F123="",G123=""),"",F123*G123)</f>
      </c>
      <c r="I123" s="4" t="s">
        <v>613</v>
      </c>
    </row>
    <row r="124" ht="32" customHeight="1" spans="1:9" x14ac:dyDescent="0.25">
      <c r="A124" s="20" t="s">
        <v>845</v>
      </c>
      <c r="B124" s="21" t="s">
        <v>660</v>
      </c>
      <c r="C124" s="21" t="s">
        <v>846</v>
      </c>
      <c r="D124" s="21" t="s">
        <v>489</v>
      </c>
      <c r="E124" s="22" t="s">
        <v>357</v>
      </c>
      <c r="F124" s="19">
        <v>25</v>
      </c>
      <c r="G124" s="19">
        <v>32</v>
      </c>
      <c r="H124" s="19">
        <f>IF(OR(F124="",G124=""),"",F124*G124)</f>
      </c>
      <c r="I124" s="21" t="s">
        <v>613</v>
      </c>
    </row>
    <row r="125" ht="32" customHeight="1" spans="1:9" x14ac:dyDescent="0.25">
      <c r="A125" s="18" t="s">
        <v>847</v>
      </c>
      <c r="B125" s="4" t="s">
        <v>660</v>
      </c>
      <c r="C125" s="4" t="s">
        <v>848</v>
      </c>
      <c r="D125" s="4" t="s">
        <v>489</v>
      </c>
      <c r="E125" s="7" t="s">
        <v>357</v>
      </c>
      <c r="F125" s="19">
        <v>25</v>
      </c>
      <c r="G125" s="19">
        <v>32</v>
      </c>
      <c r="H125" s="19">
        <f>IF(OR(F125="",G125=""),"",F125*G125)</f>
      </c>
      <c r="I125" s="4" t="s">
        <v>613</v>
      </c>
    </row>
    <row r="126" ht="32" customHeight="1" spans="1:9" x14ac:dyDescent="0.25">
      <c r="A126" s="20" t="s">
        <v>849</v>
      </c>
      <c r="B126" s="21" t="s">
        <v>660</v>
      </c>
      <c r="C126" s="21" t="s">
        <v>850</v>
      </c>
      <c r="D126" s="21" t="s">
        <v>489</v>
      </c>
      <c r="E126" s="22" t="s">
        <v>357</v>
      </c>
      <c r="F126" s="19">
        <v>25</v>
      </c>
      <c r="G126" s="19">
        <v>32</v>
      </c>
      <c r="H126" s="19">
        <f>IF(OR(F126="",G126=""),"",F126*G126)</f>
      </c>
      <c r="I126" s="21" t="s">
        <v>613</v>
      </c>
    </row>
    <row r="127" ht="32" customHeight="1" spans="1:9" x14ac:dyDescent="0.25">
      <c r="A127" s="18" t="s">
        <v>851</v>
      </c>
      <c r="B127" s="4" t="s">
        <v>660</v>
      </c>
      <c r="C127" s="4" t="s">
        <v>852</v>
      </c>
      <c r="D127" s="4" t="s">
        <v>489</v>
      </c>
      <c r="E127" s="7" t="s">
        <v>357</v>
      </c>
      <c r="F127" s="19">
        <v>25</v>
      </c>
      <c r="G127" s="19">
        <v>32</v>
      </c>
      <c r="H127" s="19">
        <f>IF(OR(F127="",G127=""),"",F127*G127)</f>
      </c>
      <c r="I127" s="4" t="s">
        <v>613</v>
      </c>
    </row>
    <row r="128" ht="18" customHeight="1" spans="1:9" x14ac:dyDescent="0.25">
      <c r="A128" s="20" t="s">
        <v>853</v>
      </c>
      <c r="B128" s="21" t="s">
        <v>660</v>
      </c>
      <c r="C128" s="21" t="s">
        <v>854</v>
      </c>
      <c r="D128" s="21" t="s">
        <v>489</v>
      </c>
      <c r="E128" s="22" t="s">
        <v>357</v>
      </c>
      <c r="F128" s="19">
        <v>25</v>
      </c>
      <c r="G128" s="19">
        <v>32</v>
      </c>
      <c r="H128" s="19">
        <f>IF(OR(F128="",G128=""),"",F128*G128)</f>
      </c>
      <c r="I128" s="21" t="s">
        <v>613</v>
      </c>
    </row>
    <row r="129" ht="18" customHeight="1" spans="1:9" x14ac:dyDescent="0.25">
      <c r="A129" s="18" t="s">
        <v>855</v>
      </c>
      <c r="B129" s="4" t="s">
        <v>660</v>
      </c>
      <c r="C129" s="4" t="s">
        <v>856</v>
      </c>
      <c r="D129" s="4" t="s">
        <v>489</v>
      </c>
      <c r="E129" s="7" t="s">
        <v>357</v>
      </c>
      <c r="F129" s="19">
        <v>25</v>
      </c>
      <c r="G129" s="19">
        <v>32</v>
      </c>
      <c r="H129" s="19">
        <f>IF(OR(F129="",G129=""),"",F129*G129)</f>
      </c>
      <c r="I129" s="4" t="s">
        <v>613</v>
      </c>
    </row>
    <row r="130" ht="18" customHeight="1" spans="1:9" x14ac:dyDescent="0.25">
      <c r="A130" s="20" t="s">
        <v>857</v>
      </c>
      <c r="B130" s="21" t="s">
        <v>660</v>
      </c>
      <c r="C130" s="21" t="s">
        <v>858</v>
      </c>
      <c r="D130" s="21" t="s">
        <v>489</v>
      </c>
      <c r="E130" s="22" t="s">
        <v>357</v>
      </c>
      <c r="F130" s="19">
        <v>25</v>
      </c>
      <c r="G130" s="19">
        <v>32</v>
      </c>
      <c r="H130" s="19">
        <f>IF(OR(F130="",G130=""),"",F130*G130)</f>
      </c>
      <c r="I130" s="21" t="s">
        <v>613</v>
      </c>
    </row>
    <row r="131" ht="18" customHeight="1" spans="1:9" x14ac:dyDescent="0.25">
      <c r="A131" s="18" t="s">
        <v>859</v>
      </c>
      <c r="B131" s="4" t="s">
        <v>660</v>
      </c>
      <c r="C131" s="4" t="s">
        <v>860</v>
      </c>
      <c r="D131" s="4" t="s">
        <v>489</v>
      </c>
      <c r="E131" s="7" t="s">
        <v>357</v>
      </c>
      <c r="F131" s="19">
        <v>25</v>
      </c>
      <c r="G131" s="19">
        <v>32</v>
      </c>
      <c r="H131" s="19">
        <f>IF(OR(F131="",G131=""),"",F131*G131)</f>
      </c>
      <c r="I131" s="4" t="s">
        <v>613</v>
      </c>
    </row>
    <row r="132" ht="18" customHeight="1" spans="1:9" x14ac:dyDescent="0.25">
      <c r="A132" s="20" t="s">
        <v>861</v>
      </c>
      <c r="B132" s="21" t="s">
        <v>660</v>
      </c>
      <c r="C132" s="21" t="s">
        <v>862</v>
      </c>
      <c r="D132" s="21" t="s">
        <v>489</v>
      </c>
      <c r="E132" s="22" t="s">
        <v>357</v>
      </c>
      <c r="F132" s="19">
        <v>25</v>
      </c>
      <c r="G132" s="19">
        <v>32</v>
      </c>
      <c r="H132" s="19">
        <f>IF(OR(F132="",G132=""),"",F132*G132)</f>
      </c>
      <c r="I132" s="21" t="s">
        <v>613</v>
      </c>
    </row>
    <row r="133" ht="18" customHeight="1" spans="1:9" x14ac:dyDescent="0.25">
      <c r="A133" s="18" t="s">
        <v>863</v>
      </c>
      <c r="B133" s="4" t="s">
        <v>660</v>
      </c>
      <c r="C133" s="4" t="s">
        <v>864</v>
      </c>
      <c r="D133" s="4" t="s">
        <v>489</v>
      </c>
      <c r="E133" s="7" t="s">
        <v>357</v>
      </c>
      <c r="F133" s="19">
        <v>25</v>
      </c>
      <c r="G133" s="19">
        <v>32</v>
      </c>
      <c r="H133" s="19">
        <f>IF(OR(F133="",G133=""),"",F133*G133)</f>
      </c>
      <c r="I133" s="4" t="s">
        <v>613</v>
      </c>
    </row>
    <row r="134" ht="18" customHeight="1" spans="1:9" x14ac:dyDescent="0.25">
      <c r="A134" s="20" t="s">
        <v>865</v>
      </c>
      <c r="B134" s="21" t="s">
        <v>660</v>
      </c>
      <c r="C134" s="21" t="s">
        <v>866</v>
      </c>
      <c r="D134" s="21" t="s">
        <v>489</v>
      </c>
      <c r="E134" s="22" t="s">
        <v>357</v>
      </c>
      <c r="F134" s="19">
        <v>25</v>
      </c>
      <c r="G134" s="19">
        <v>32</v>
      </c>
      <c r="H134" s="19">
        <f>IF(OR(F134="",G134=""),"",F134*G134)</f>
      </c>
      <c r="I134" s="21" t="s">
        <v>613</v>
      </c>
    </row>
    <row r="135" ht="18" customHeight="1" spans="1:9" x14ac:dyDescent="0.25">
      <c r="A135" s="18" t="s">
        <v>867</v>
      </c>
      <c r="B135" s="4" t="s">
        <v>660</v>
      </c>
      <c r="C135" s="4" t="s">
        <v>868</v>
      </c>
      <c r="D135" s="4" t="s">
        <v>489</v>
      </c>
      <c r="E135" s="7" t="s">
        <v>357</v>
      </c>
      <c r="F135" s="19">
        <v>25</v>
      </c>
      <c r="G135" s="19">
        <v>32</v>
      </c>
      <c r="H135" s="19">
        <f>IF(OR(F135="",G135=""),"",F135*G135)</f>
      </c>
      <c r="I135" s="4" t="s">
        <v>613</v>
      </c>
    </row>
    <row r="136" ht="18" customHeight="1" spans="1:9" x14ac:dyDescent="0.25">
      <c r="A136" s="20" t="s">
        <v>869</v>
      </c>
      <c r="B136" s="21" t="s">
        <v>660</v>
      </c>
      <c r="C136" s="21" t="s">
        <v>870</v>
      </c>
      <c r="D136" s="21" t="s">
        <v>489</v>
      </c>
      <c r="E136" s="22" t="s">
        <v>357</v>
      </c>
      <c r="F136" s="19">
        <v>25</v>
      </c>
      <c r="G136" s="19">
        <v>32</v>
      </c>
      <c r="H136" s="19">
        <f>IF(OR(F136="",G136=""),"",F136*G136)</f>
      </c>
      <c r="I136" s="21" t="s">
        <v>613</v>
      </c>
    </row>
    <row r="137" ht="32" customHeight="1" spans="1:9" x14ac:dyDescent="0.25">
      <c r="A137" s="18" t="s">
        <v>871</v>
      </c>
      <c r="B137" s="4" t="s">
        <v>660</v>
      </c>
      <c r="C137" s="4" t="s">
        <v>872</v>
      </c>
      <c r="D137" s="4" t="s">
        <v>489</v>
      </c>
      <c r="E137" s="7" t="s">
        <v>357</v>
      </c>
      <c r="F137" s="19">
        <v>25</v>
      </c>
      <c r="G137" s="19">
        <v>32</v>
      </c>
      <c r="H137" s="19">
        <f>IF(OR(F137="",G137=""),"",F137*G137)</f>
      </c>
      <c r="I137" s="4" t="s">
        <v>613</v>
      </c>
    </row>
    <row r="138" ht="32" customHeight="1" spans="1:9" x14ac:dyDescent="0.25">
      <c r="A138" s="20" t="s">
        <v>873</v>
      </c>
      <c r="B138" s="21" t="s">
        <v>660</v>
      </c>
      <c r="C138" s="21" t="s">
        <v>874</v>
      </c>
      <c r="D138" s="21" t="s">
        <v>489</v>
      </c>
      <c r="E138" s="22" t="s">
        <v>357</v>
      </c>
      <c r="F138" s="19">
        <v>25</v>
      </c>
      <c r="G138" s="19">
        <v>32</v>
      </c>
      <c r="H138" s="19">
        <f>IF(OR(F138="",G138=""),"",F138*G138)</f>
      </c>
      <c r="I138" s="21" t="s">
        <v>613</v>
      </c>
    </row>
    <row r="139" ht="32" customHeight="1" spans="1:9" x14ac:dyDescent="0.25">
      <c r="A139" s="18" t="s">
        <v>875</v>
      </c>
      <c r="B139" s="4" t="s">
        <v>660</v>
      </c>
      <c r="C139" s="4" t="s">
        <v>876</v>
      </c>
      <c r="D139" s="4" t="s">
        <v>489</v>
      </c>
      <c r="E139" s="7" t="s">
        <v>357</v>
      </c>
      <c r="F139" s="19">
        <v>25</v>
      </c>
      <c r="G139" s="19">
        <v>32</v>
      </c>
      <c r="H139" s="19">
        <f>IF(OR(F139="",G139=""),"",F139*G139)</f>
      </c>
      <c r="I139" s="4" t="s">
        <v>613</v>
      </c>
    </row>
    <row r="140" ht="32" customHeight="1" spans="1:9" x14ac:dyDescent="0.25">
      <c r="A140" s="20" t="s">
        <v>877</v>
      </c>
      <c r="B140" s="21" t="s">
        <v>660</v>
      </c>
      <c r="C140" s="21" t="s">
        <v>878</v>
      </c>
      <c r="D140" s="21" t="s">
        <v>489</v>
      </c>
      <c r="E140" s="22" t="s">
        <v>357</v>
      </c>
      <c r="F140" s="19">
        <v>25</v>
      </c>
      <c r="G140" s="19">
        <v>32</v>
      </c>
      <c r="H140" s="19">
        <f>IF(OR(F140="",G140=""),"",F140*G140)</f>
      </c>
      <c r="I140" s="21" t="s">
        <v>613</v>
      </c>
    </row>
    <row r="141" ht="32" customHeight="1" spans="1:9" x14ac:dyDescent="0.25">
      <c r="A141" s="18" t="s">
        <v>879</v>
      </c>
      <c r="B141" s="4" t="s">
        <v>660</v>
      </c>
      <c r="C141" s="4" t="s">
        <v>880</v>
      </c>
      <c r="D141" s="4" t="s">
        <v>489</v>
      </c>
      <c r="E141" s="7" t="s">
        <v>357</v>
      </c>
      <c r="F141" s="19">
        <v>25</v>
      </c>
      <c r="G141" s="19">
        <v>32</v>
      </c>
      <c r="H141" s="19">
        <f>IF(OR(F141="",G141=""),"",F141*G141)</f>
      </c>
      <c r="I141" s="4" t="s">
        <v>613</v>
      </c>
    </row>
    <row r="142" ht="32" customHeight="1" spans="1:9" x14ac:dyDescent="0.25">
      <c r="A142" s="20" t="s">
        <v>881</v>
      </c>
      <c r="B142" s="21" t="s">
        <v>660</v>
      </c>
      <c r="C142" s="21" t="s">
        <v>882</v>
      </c>
      <c r="D142" s="21" t="s">
        <v>489</v>
      </c>
      <c r="E142" s="22" t="s">
        <v>357</v>
      </c>
      <c r="F142" s="19">
        <v>25</v>
      </c>
      <c r="G142" s="19">
        <v>32</v>
      </c>
      <c r="H142" s="19">
        <f>IF(OR(F142="",G142=""),"",F142*G142)</f>
      </c>
      <c r="I142" s="21" t="s">
        <v>613</v>
      </c>
    </row>
    <row r="143" ht="18" customHeight="1" spans="1:9" x14ac:dyDescent="0.25">
      <c r="A143" s="18" t="s">
        <v>883</v>
      </c>
      <c r="B143" s="4" t="s">
        <v>660</v>
      </c>
      <c r="C143" s="4" t="s">
        <v>884</v>
      </c>
      <c r="D143" s="4" t="s">
        <v>489</v>
      </c>
      <c r="E143" s="7" t="s">
        <v>357</v>
      </c>
      <c r="F143" s="19">
        <v>25</v>
      </c>
      <c r="G143" s="19">
        <v>32</v>
      </c>
      <c r="H143" s="19">
        <f>IF(OR(F143="",G143=""),"",F143*G143)</f>
      </c>
      <c r="I143" s="4" t="s">
        <v>613</v>
      </c>
    </row>
    <row r="144" ht="18" customHeight="1" spans="1:9" x14ac:dyDescent="0.25">
      <c r="A144" s="20" t="s">
        <v>885</v>
      </c>
      <c r="B144" s="21" t="s">
        <v>660</v>
      </c>
      <c r="C144" s="21" t="s">
        <v>886</v>
      </c>
      <c r="D144" s="21" t="s">
        <v>489</v>
      </c>
      <c r="E144" s="22" t="s">
        <v>357</v>
      </c>
      <c r="F144" s="19">
        <v>25</v>
      </c>
      <c r="G144" s="19">
        <v>32</v>
      </c>
      <c r="H144" s="19">
        <f>IF(OR(F144="",G144=""),"",F144*G144)</f>
      </c>
      <c r="I144" s="21" t="s">
        <v>613</v>
      </c>
    </row>
    <row r="145" ht="18" customHeight="1" spans="1:9" x14ac:dyDescent="0.25">
      <c r="A145" s="18" t="s">
        <v>887</v>
      </c>
      <c r="B145" s="4" t="s">
        <v>660</v>
      </c>
      <c r="C145" s="4" t="s">
        <v>888</v>
      </c>
      <c r="D145" s="4" t="s">
        <v>489</v>
      </c>
      <c r="E145" s="7" t="s">
        <v>357</v>
      </c>
      <c r="F145" s="19">
        <v>25</v>
      </c>
      <c r="G145" s="19">
        <v>32</v>
      </c>
      <c r="H145" s="19">
        <f>IF(OR(F145="",G145=""),"",F145*G145)</f>
      </c>
      <c r="I145" s="4" t="s">
        <v>613</v>
      </c>
    </row>
    <row r="146" ht="18" customHeight="1" spans="1:9" x14ac:dyDescent="0.25">
      <c r="A146" s="20" t="s">
        <v>889</v>
      </c>
      <c r="B146" s="21" t="s">
        <v>660</v>
      </c>
      <c r="C146" s="21" t="s">
        <v>890</v>
      </c>
      <c r="D146" s="21" t="s">
        <v>489</v>
      </c>
      <c r="E146" s="22" t="s">
        <v>357</v>
      </c>
      <c r="F146" s="19">
        <v>25</v>
      </c>
      <c r="G146" s="19">
        <v>32</v>
      </c>
      <c r="H146" s="19">
        <f>IF(OR(F146="",G146=""),"",F146*G146)</f>
      </c>
      <c r="I146" s="21" t="s">
        <v>613</v>
      </c>
    </row>
    <row r="147" ht="18" customHeight="1" spans="1:9" x14ac:dyDescent="0.25">
      <c r="A147" s="18" t="s">
        <v>891</v>
      </c>
      <c r="B147" s="4" t="s">
        <v>660</v>
      </c>
      <c r="C147" s="4" t="s">
        <v>892</v>
      </c>
      <c r="D147" s="4" t="s">
        <v>489</v>
      </c>
      <c r="E147" s="7" t="s">
        <v>357</v>
      </c>
      <c r="F147" s="19">
        <v>25</v>
      </c>
      <c r="G147" s="19">
        <v>32</v>
      </c>
      <c r="H147" s="19">
        <f>IF(OR(F147="",G147=""),"",F147*G147)</f>
      </c>
      <c r="I147" s="4" t="s">
        <v>613</v>
      </c>
    </row>
    <row r="148" ht="18" customHeight="1" spans="1:9" x14ac:dyDescent="0.25">
      <c r="A148" s="20" t="s">
        <v>893</v>
      </c>
      <c r="B148" s="21" t="s">
        <v>660</v>
      </c>
      <c r="C148" s="21" t="s">
        <v>894</v>
      </c>
      <c r="D148" s="21" t="s">
        <v>489</v>
      </c>
      <c r="E148" s="22" t="s">
        <v>357</v>
      </c>
      <c r="F148" s="19">
        <v>25</v>
      </c>
      <c r="G148" s="19">
        <v>32</v>
      </c>
      <c r="H148" s="19">
        <f>IF(OR(F148="",G148=""),"",F148*G148)</f>
      </c>
      <c r="I148" s="21" t="s">
        <v>613</v>
      </c>
    </row>
    <row r="149" ht="18" customHeight="1" spans="1:9" x14ac:dyDescent="0.25">
      <c r="A149" s="18" t="s">
        <v>895</v>
      </c>
      <c r="B149" s="4" t="s">
        <v>660</v>
      </c>
      <c r="C149" s="4" t="s">
        <v>896</v>
      </c>
      <c r="D149" s="4" t="s">
        <v>489</v>
      </c>
      <c r="E149" s="7" t="s">
        <v>357</v>
      </c>
      <c r="F149" s="19">
        <v>25</v>
      </c>
      <c r="G149" s="19">
        <v>32</v>
      </c>
      <c r="H149" s="19">
        <f>IF(OR(F149="",G149=""),"",F149*G149)</f>
      </c>
      <c r="I149" s="4" t="s">
        <v>613</v>
      </c>
    </row>
    <row r="150" ht="18" customHeight="1" spans="1:9" x14ac:dyDescent="0.25">
      <c r="A150" s="20" t="s">
        <v>897</v>
      </c>
      <c r="B150" s="21" t="s">
        <v>660</v>
      </c>
      <c r="C150" s="21" t="s">
        <v>898</v>
      </c>
      <c r="D150" s="21" t="s">
        <v>489</v>
      </c>
      <c r="E150" s="22" t="s">
        <v>357</v>
      </c>
      <c r="F150" s="19">
        <v>25</v>
      </c>
      <c r="G150" s="19">
        <v>32</v>
      </c>
      <c r="H150" s="19">
        <f>IF(OR(F150="",G150=""),"",F150*G150)</f>
      </c>
      <c r="I150" s="21" t="s">
        <v>613</v>
      </c>
    </row>
    <row r="151" ht="18" customHeight="1" spans="1:9" x14ac:dyDescent="0.25">
      <c r="A151" s="18" t="s">
        <v>899</v>
      </c>
      <c r="B151" s="4" t="s">
        <v>660</v>
      </c>
      <c r="C151" s="4" t="s">
        <v>900</v>
      </c>
      <c r="D151" s="4" t="s">
        <v>489</v>
      </c>
      <c r="E151" s="7" t="s">
        <v>357</v>
      </c>
      <c r="F151" s="19">
        <v>25</v>
      </c>
      <c r="G151" s="19">
        <v>32</v>
      </c>
      <c r="H151" s="19">
        <f>IF(OR(F151="",G151=""),"",F151*G151)</f>
      </c>
      <c r="I151" s="4" t="s">
        <v>613</v>
      </c>
    </row>
    <row r="152" ht="32" customHeight="1" spans="1:9" x14ac:dyDescent="0.25">
      <c r="A152" s="20" t="s">
        <v>901</v>
      </c>
      <c r="B152" s="21" t="s">
        <v>660</v>
      </c>
      <c r="C152" s="21" t="s">
        <v>902</v>
      </c>
      <c r="D152" s="21" t="s">
        <v>489</v>
      </c>
      <c r="E152" s="22" t="s">
        <v>357</v>
      </c>
      <c r="F152" s="19">
        <v>25</v>
      </c>
      <c r="G152" s="19">
        <v>32</v>
      </c>
      <c r="H152" s="19">
        <f>IF(OR(F152="",G152=""),"",F152*G152)</f>
      </c>
      <c r="I152" s="21" t="s">
        <v>613</v>
      </c>
    </row>
    <row r="153" ht="32" customHeight="1" spans="1:9" x14ac:dyDescent="0.25">
      <c r="A153" s="18" t="s">
        <v>903</v>
      </c>
      <c r="B153" s="4" t="s">
        <v>660</v>
      </c>
      <c r="C153" s="4" t="s">
        <v>904</v>
      </c>
      <c r="D153" s="4" t="s">
        <v>489</v>
      </c>
      <c r="E153" s="7" t="s">
        <v>357</v>
      </c>
      <c r="F153" s="19">
        <v>25</v>
      </c>
      <c r="G153" s="19">
        <v>32</v>
      </c>
      <c r="H153" s="19">
        <f>IF(OR(F153="",G153=""),"",F153*G153)</f>
      </c>
      <c r="I153" s="4" t="s">
        <v>613</v>
      </c>
    </row>
    <row r="154" ht="32" customHeight="1" spans="1:9" x14ac:dyDescent="0.25">
      <c r="A154" s="20" t="s">
        <v>905</v>
      </c>
      <c r="B154" s="21" t="s">
        <v>660</v>
      </c>
      <c r="C154" s="21" t="s">
        <v>906</v>
      </c>
      <c r="D154" s="21" t="s">
        <v>489</v>
      </c>
      <c r="E154" s="22" t="s">
        <v>357</v>
      </c>
      <c r="F154" s="19">
        <v>25</v>
      </c>
      <c r="G154" s="19">
        <v>32</v>
      </c>
      <c r="H154" s="19">
        <f>IF(OR(F154="",G154=""),"",F154*G154)</f>
      </c>
      <c r="I154" s="21" t="s">
        <v>613</v>
      </c>
    </row>
    <row r="155" ht="32" customHeight="1" spans="1:9" x14ac:dyDescent="0.25">
      <c r="A155" s="18" t="s">
        <v>907</v>
      </c>
      <c r="B155" s="4" t="s">
        <v>660</v>
      </c>
      <c r="C155" s="4" t="s">
        <v>908</v>
      </c>
      <c r="D155" s="4" t="s">
        <v>489</v>
      </c>
      <c r="E155" s="7" t="s">
        <v>357</v>
      </c>
      <c r="F155" s="19">
        <v>25</v>
      </c>
      <c r="G155" s="19">
        <v>32</v>
      </c>
      <c r="H155" s="19">
        <f>IF(OR(F155="",G155=""),"",F155*G155)</f>
      </c>
      <c r="I155" s="4" t="s">
        <v>613</v>
      </c>
    </row>
    <row r="156" ht="32" customHeight="1" spans="1:9" x14ac:dyDescent="0.25">
      <c r="A156" s="20" t="s">
        <v>909</v>
      </c>
      <c r="B156" s="21" t="s">
        <v>660</v>
      </c>
      <c r="C156" s="21" t="s">
        <v>910</v>
      </c>
      <c r="D156" s="21" t="s">
        <v>489</v>
      </c>
      <c r="E156" s="22" t="s">
        <v>357</v>
      </c>
      <c r="F156" s="19">
        <v>25</v>
      </c>
      <c r="G156" s="19">
        <v>32</v>
      </c>
      <c r="H156" s="19">
        <f>IF(OR(F156="",G156=""),"",F156*G156)</f>
      </c>
      <c r="I156" s="21" t="s">
        <v>613</v>
      </c>
    </row>
    <row r="157" ht="32" customHeight="1" spans="1:9" x14ac:dyDescent="0.25">
      <c r="A157" s="18" t="s">
        <v>911</v>
      </c>
      <c r="B157" s="4" t="s">
        <v>660</v>
      </c>
      <c r="C157" s="4" t="s">
        <v>912</v>
      </c>
      <c r="D157" s="4" t="s">
        <v>489</v>
      </c>
      <c r="E157" s="7" t="s">
        <v>357</v>
      </c>
      <c r="F157" s="19">
        <v>25</v>
      </c>
      <c r="G157" s="19">
        <v>32</v>
      </c>
      <c r="H157" s="19">
        <f>IF(OR(F157="",G157=""),"",F157*G157)</f>
      </c>
      <c r="I157" s="4" t="s">
        <v>613</v>
      </c>
    </row>
    <row r="158" ht="18" customHeight="1" spans="1:9" x14ac:dyDescent="0.25">
      <c r="A158" s="20" t="s">
        <v>913</v>
      </c>
      <c r="B158" s="21" t="s">
        <v>660</v>
      </c>
      <c r="C158" s="21" t="s">
        <v>914</v>
      </c>
      <c r="D158" s="21" t="s">
        <v>489</v>
      </c>
      <c r="E158" s="22" t="s">
        <v>357</v>
      </c>
      <c r="F158" s="19">
        <v>25</v>
      </c>
      <c r="G158" s="19">
        <v>32</v>
      </c>
      <c r="H158" s="19">
        <f>IF(OR(F158="",G158=""),"",F158*G158)</f>
      </c>
      <c r="I158" s="21" t="s">
        <v>613</v>
      </c>
    </row>
    <row r="159" ht="18" customHeight="1" spans="1:9" x14ac:dyDescent="0.25">
      <c r="A159" s="18" t="s">
        <v>915</v>
      </c>
      <c r="B159" s="4" t="s">
        <v>660</v>
      </c>
      <c r="C159" s="4" t="s">
        <v>916</v>
      </c>
      <c r="D159" s="4" t="s">
        <v>489</v>
      </c>
      <c r="E159" s="7" t="s">
        <v>357</v>
      </c>
      <c r="F159" s="19">
        <v>25</v>
      </c>
      <c r="G159" s="19">
        <v>32</v>
      </c>
      <c r="H159" s="19">
        <f>IF(OR(F159="",G159=""),"",F159*G159)</f>
      </c>
      <c r="I159" s="4" t="s">
        <v>613</v>
      </c>
    </row>
    <row r="160" ht="18" customHeight="1" spans="1:9" x14ac:dyDescent="0.25">
      <c r="A160" s="20" t="s">
        <v>917</v>
      </c>
      <c r="B160" s="21" t="s">
        <v>660</v>
      </c>
      <c r="C160" s="21" t="s">
        <v>918</v>
      </c>
      <c r="D160" s="21" t="s">
        <v>489</v>
      </c>
      <c r="E160" s="22" t="s">
        <v>357</v>
      </c>
      <c r="F160" s="19">
        <v>25</v>
      </c>
      <c r="G160" s="19">
        <v>32</v>
      </c>
      <c r="H160" s="19">
        <f>IF(OR(F160="",G160=""),"",F160*G160)</f>
      </c>
      <c r="I160" s="21" t="s">
        <v>613</v>
      </c>
    </row>
    <row r="161" ht="18" customHeight="1" spans="1:9" x14ac:dyDescent="0.25">
      <c r="A161" s="18" t="s">
        <v>919</v>
      </c>
      <c r="B161" s="4" t="s">
        <v>660</v>
      </c>
      <c r="C161" s="4" t="s">
        <v>920</v>
      </c>
      <c r="D161" s="4" t="s">
        <v>489</v>
      </c>
      <c r="E161" s="7" t="s">
        <v>357</v>
      </c>
      <c r="F161" s="19">
        <v>25</v>
      </c>
      <c r="G161" s="19">
        <v>32</v>
      </c>
      <c r="H161" s="19">
        <f>IF(OR(F161="",G161=""),"",F161*G161)</f>
      </c>
      <c r="I161" s="4" t="s">
        <v>613</v>
      </c>
    </row>
    <row r="162" ht="18" customHeight="1" spans="1:9" x14ac:dyDescent="0.25">
      <c r="A162" s="20" t="s">
        <v>921</v>
      </c>
      <c r="B162" s="21" t="s">
        <v>660</v>
      </c>
      <c r="C162" s="21" t="s">
        <v>922</v>
      </c>
      <c r="D162" s="21" t="s">
        <v>489</v>
      </c>
      <c r="E162" s="22" t="s">
        <v>357</v>
      </c>
      <c r="F162" s="19">
        <v>25</v>
      </c>
      <c r="G162" s="19">
        <v>32</v>
      </c>
      <c r="H162" s="19">
        <f>IF(OR(F162="",G162=""),"",F162*G162)</f>
      </c>
      <c r="I162" s="21" t="s">
        <v>613</v>
      </c>
    </row>
    <row r="163" ht="18" customHeight="1" spans="1:9" x14ac:dyDescent="0.25">
      <c r="A163" s="18" t="s">
        <v>923</v>
      </c>
      <c r="B163" s="4" t="s">
        <v>660</v>
      </c>
      <c r="C163" s="4" t="s">
        <v>924</v>
      </c>
      <c r="D163" s="4" t="s">
        <v>489</v>
      </c>
      <c r="E163" s="7" t="s">
        <v>357</v>
      </c>
      <c r="F163" s="19">
        <v>25</v>
      </c>
      <c r="G163" s="19">
        <v>32</v>
      </c>
      <c r="H163" s="19">
        <f>IF(OR(F163="",G163=""),"",F163*G163)</f>
      </c>
      <c r="I163" s="4" t="s">
        <v>613</v>
      </c>
    </row>
    <row r="164" ht="18" customHeight="1" spans="1:9" x14ac:dyDescent="0.25">
      <c r="A164" s="20" t="s">
        <v>925</v>
      </c>
      <c r="B164" s="21" t="s">
        <v>660</v>
      </c>
      <c r="C164" s="21" t="s">
        <v>926</v>
      </c>
      <c r="D164" s="21" t="s">
        <v>489</v>
      </c>
      <c r="E164" s="22" t="s">
        <v>357</v>
      </c>
      <c r="F164" s="19">
        <v>25</v>
      </c>
      <c r="G164" s="19">
        <v>32</v>
      </c>
      <c r="H164" s="19">
        <f>IF(OR(F164="",G164=""),"",F164*G164)</f>
      </c>
      <c r="I164" s="21" t="s">
        <v>613</v>
      </c>
    </row>
    <row r="165" ht="18" customHeight="1" spans="1:9" x14ac:dyDescent="0.25">
      <c r="A165" s="18" t="s">
        <v>927</v>
      </c>
      <c r="B165" s="4" t="s">
        <v>660</v>
      </c>
      <c r="C165" s="4" t="s">
        <v>928</v>
      </c>
      <c r="D165" s="4" t="s">
        <v>489</v>
      </c>
      <c r="E165" s="7" t="s">
        <v>357</v>
      </c>
      <c r="F165" s="19">
        <v>25</v>
      </c>
      <c r="G165" s="19">
        <v>32</v>
      </c>
      <c r="H165" s="19">
        <f>IF(OR(F165="",G165=""),"",F165*G165)</f>
      </c>
      <c r="I165" s="4" t="s">
        <v>613</v>
      </c>
    </row>
    <row r="166" ht="18" customHeight="1" spans="1:9" x14ac:dyDescent="0.25">
      <c r="A166" s="20" t="s">
        <v>929</v>
      </c>
      <c r="B166" s="21" t="s">
        <v>660</v>
      </c>
      <c r="C166" s="21" t="s">
        <v>930</v>
      </c>
      <c r="D166" s="21" t="s">
        <v>489</v>
      </c>
      <c r="E166" s="22" t="s">
        <v>357</v>
      </c>
      <c r="F166" s="19">
        <v>25</v>
      </c>
      <c r="G166" s="19">
        <v>32</v>
      </c>
      <c r="H166" s="19">
        <f>IF(OR(F166="",G166=""),"",F166*G166)</f>
      </c>
      <c r="I166" s="21" t="s">
        <v>613</v>
      </c>
    </row>
    <row r="167" ht="32" customHeight="1" spans="1:9" x14ac:dyDescent="0.25">
      <c r="A167" s="18" t="s">
        <v>931</v>
      </c>
      <c r="B167" s="4" t="s">
        <v>660</v>
      </c>
      <c r="C167" s="4" t="s">
        <v>932</v>
      </c>
      <c r="D167" s="4" t="s">
        <v>489</v>
      </c>
      <c r="E167" s="7" t="s">
        <v>357</v>
      </c>
      <c r="F167" s="19">
        <v>25</v>
      </c>
      <c r="G167" s="19">
        <v>32</v>
      </c>
      <c r="H167" s="19">
        <f>IF(OR(F167="",G167=""),"",F167*G167)</f>
      </c>
      <c r="I167" s="4" t="s">
        <v>613</v>
      </c>
    </row>
    <row r="168" ht="32" customHeight="1" spans="1:9" x14ac:dyDescent="0.25">
      <c r="A168" s="20" t="s">
        <v>933</v>
      </c>
      <c r="B168" s="21" t="s">
        <v>660</v>
      </c>
      <c r="C168" s="21" t="s">
        <v>934</v>
      </c>
      <c r="D168" s="21" t="s">
        <v>489</v>
      </c>
      <c r="E168" s="22" t="s">
        <v>357</v>
      </c>
      <c r="F168" s="19">
        <v>25</v>
      </c>
      <c r="G168" s="19">
        <v>32</v>
      </c>
      <c r="H168" s="19">
        <f>IF(OR(F168="",G168=""),"",F168*G168)</f>
      </c>
      <c r="I168" s="21" t="s">
        <v>613</v>
      </c>
    </row>
    <row r="169" ht="32" customHeight="1" spans="1:9" x14ac:dyDescent="0.25">
      <c r="A169" s="18" t="s">
        <v>935</v>
      </c>
      <c r="B169" s="4" t="s">
        <v>660</v>
      </c>
      <c r="C169" s="4" t="s">
        <v>936</v>
      </c>
      <c r="D169" s="4" t="s">
        <v>489</v>
      </c>
      <c r="E169" s="7" t="s">
        <v>357</v>
      </c>
      <c r="F169" s="19">
        <v>25</v>
      </c>
      <c r="G169" s="19">
        <v>32</v>
      </c>
      <c r="H169" s="19">
        <f>IF(OR(F169="",G169=""),"",F169*G169)</f>
      </c>
      <c r="I169" s="4" t="s">
        <v>613</v>
      </c>
    </row>
    <row r="170" ht="32" customHeight="1" spans="1:9" x14ac:dyDescent="0.25">
      <c r="A170" s="20" t="s">
        <v>937</v>
      </c>
      <c r="B170" s="21" t="s">
        <v>660</v>
      </c>
      <c r="C170" s="21" t="s">
        <v>938</v>
      </c>
      <c r="D170" s="21" t="s">
        <v>489</v>
      </c>
      <c r="E170" s="22" t="s">
        <v>357</v>
      </c>
      <c r="F170" s="19">
        <v>25</v>
      </c>
      <c r="G170" s="19">
        <v>32</v>
      </c>
      <c r="H170" s="19">
        <f>IF(OR(F170="",G170=""),"",F170*G170)</f>
      </c>
      <c r="I170" s="21" t="s">
        <v>613</v>
      </c>
    </row>
    <row r="171" ht="32" customHeight="1" spans="1:9" x14ac:dyDescent="0.25">
      <c r="A171" s="18" t="s">
        <v>939</v>
      </c>
      <c r="B171" s="4" t="s">
        <v>660</v>
      </c>
      <c r="C171" s="4" t="s">
        <v>940</v>
      </c>
      <c r="D171" s="4" t="s">
        <v>489</v>
      </c>
      <c r="E171" s="7" t="s">
        <v>357</v>
      </c>
      <c r="F171" s="19">
        <v>25</v>
      </c>
      <c r="G171" s="19">
        <v>32</v>
      </c>
      <c r="H171" s="19">
        <f>IF(OR(F171="",G171=""),"",F171*G171)</f>
      </c>
      <c r="I171" s="4" t="s">
        <v>613</v>
      </c>
    </row>
    <row r="172" ht="32" customHeight="1" spans="1:9" x14ac:dyDescent="0.25">
      <c r="A172" s="20" t="s">
        <v>941</v>
      </c>
      <c r="B172" s="21" t="s">
        <v>660</v>
      </c>
      <c r="C172" s="21" t="s">
        <v>942</v>
      </c>
      <c r="D172" s="21" t="s">
        <v>489</v>
      </c>
      <c r="E172" s="22" t="s">
        <v>357</v>
      </c>
      <c r="F172" s="19">
        <v>25</v>
      </c>
      <c r="G172" s="19">
        <v>32</v>
      </c>
      <c r="H172" s="19">
        <f>IF(OR(F172="",G172=""),"",F172*G172)</f>
      </c>
      <c r="I172" s="21" t="s">
        <v>613</v>
      </c>
    </row>
    <row r="173" ht="19.5" customHeight="1" spans="1:9" x14ac:dyDescent="0.25">
      <c r="A173" s="23" t="s">
        <v>943</v>
      </c>
      <c r="B173"/>
      <c r="C173"/>
      <c r="D173"/>
      <c r="E173"/>
      <c r="F173"/>
      <c r="G173"/>
      <c r="H173" s="24">
        <f>SUM(H39:H173)</f>
      </c>
      <c r="I173" s="23" t="s">
        <v>296</v>
      </c>
    </row>
    <row r="174" spans="1:1" x14ac:dyDescent="0.25"/>
    <row r="175" ht="19.5" customHeight="1" spans="1:9" x14ac:dyDescent="0.25">
      <c r="A175" s="5" t="s">
        <v>944</v>
      </c>
      <c r="B175"/>
      <c r="C175"/>
      <c r="D175"/>
      <c r="E175"/>
      <c r="F175"/>
      <c r="G175"/>
      <c r="H175"/>
      <c r="I175"/>
    </row>
    <row r="176" ht="46" customHeight="1" spans="1:9" x14ac:dyDescent="0.25">
      <c r="A176" s="18" t="s">
        <v>945</v>
      </c>
      <c r="B176" s="4" t="s">
        <v>946</v>
      </c>
      <c r="C176" s="4" t="s">
        <v>947</v>
      </c>
      <c r="D176" s="4" t="s">
        <v>948</v>
      </c>
      <c r="E176" s="7" t="s">
        <v>357</v>
      </c>
      <c r="F176" s="19">
        <v>220</v>
      </c>
      <c r="G176" s="19">
        <v>42</v>
      </c>
      <c r="H176" s="19">
        <f>IF(OR(F176="",G176=""),"",F176*G176)</f>
      </c>
      <c r="I176" s="4" t="s">
        <v>949</v>
      </c>
    </row>
    <row r="177" ht="32" customHeight="1" spans="1:9" x14ac:dyDescent="0.25">
      <c r="A177" s="20" t="s">
        <v>950</v>
      </c>
      <c r="B177" s="21" t="s">
        <v>951</v>
      </c>
      <c r="C177" s="21" t="s">
        <v>952</v>
      </c>
      <c r="D177" s="21" t="s">
        <v>948</v>
      </c>
      <c r="E177" s="22" t="s">
        <v>357</v>
      </c>
      <c r="F177" s="19">
        <v>480</v>
      </c>
      <c r="G177" s="19">
        <v>11</v>
      </c>
      <c r="H177" s="19">
        <f>IF(OR(F177="",G177=""),"",F177*G177)</f>
      </c>
      <c r="I177" s="21" t="s">
        <v>949</v>
      </c>
    </row>
    <row r="178" ht="32" customHeight="1" spans="1:9" x14ac:dyDescent="0.25">
      <c r="A178" s="18" t="s">
        <v>953</v>
      </c>
      <c r="B178" s="4" t="s">
        <v>954</v>
      </c>
      <c r="C178" s="4" t="s">
        <v>955</v>
      </c>
      <c r="D178" s="4" t="s">
        <v>948</v>
      </c>
      <c r="E178" s="7" t="s">
        <v>357</v>
      </c>
      <c r="F178" s="19">
        <v>1200</v>
      </c>
      <c r="G178" s="19">
        <v>8</v>
      </c>
      <c r="H178" s="19">
        <f>IF(OR(F178="",G178=""),"",F178*G178)</f>
      </c>
      <c r="I178" s="4" t="s">
        <v>949</v>
      </c>
    </row>
    <row r="179" ht="32" customHeight="1" spans="1:9" x14ac:dyDescent="0.25">
      <c r="A179" s="20" t="s">
        <v>956</v>
      </c>
      <c r="B179" s="21" t="s">
        <v>957</v>
      </c>
      <c r="C179" s="21" t="s">
        <v>958</v>
      </c>
      <c r="D179" s="21" t="s">
        <v>948</v>
      </c>
      <c r="E179" s="22" t="s">
        <v>357</v>
      </c>
      <c r="F179" s="19">
        <v>540</v>
      </c>
      <c r="G179" s="19">
        <v>7</v>
      </c>
      <c r="H179" s="19">
        <f>IF(OR(F179="",G179=""),"",F179*G179)</f>
      </c>
      <c r="I179" s="21" t="s">
        <v>959</v>
      </c>
    </row>
    <row r="180" ht="19.5" customHeight="1" spans="1:9" x14ac:dyDescent="0.25">
      <c r="A180" s="23" t="s">
        <v>960</v>
      </c>
      <c r="B180"/>
      <c r="C180"/>
      <c r="D180"/>
      <c r="E180"/>
      <c r="F180"/>
      <c r="G180"/>
      <c r="H180" s="24">
        <f>SUM(H176:H180)</f>
      </c>
      <c r="I180" s="23" t="s">
        <v>296</v>
      </c>
    </row>
    <row r="181" spans="1:1" x14ac:dyDescent="0.25"/>
    <row r="182" ht="19.5" customHeight="1" spans="1:9" x14ac:dyDescent="0.25">
      <c r="A182" s="5" t="s">
        <v>961</v>
      </c>
      <c r="B182"/>
      <c r="C182"/>
      <c r="D182"/>
      <c r="E182"/>
      <c r="F182"/>
      <c r="G182"/>
      <c r="H182"/>
      <c r="I182"/>
    </row>
    <row r="183" ht="32" customHeight="1" spans="1:9" x14ac:dyDescent="0.25">
      <c r="A183" s="18" t="s">
        <v>962</v>
      </c>
      <c r="B183" s="4" t="s">
        <v>963</v>
      </c>
      <c r="C183" s="4" t="s">
        <v>964</v>
      </c>
      <c r="D183" s="4" t="s">
        <v>965</v>
      </c>
      <c r="E183" s="7" t="s">
        <v>357</v>
      </c>
      <c r="F183" s="19">
        <v>50</v>
      </c>
      <c r="G183" s="19">
        <v>27</v>
      </c>
      <c r="H183" s="19">
        <f>IF(OR(F183="",G183=""),"",F183*G183)</f>
      </c>
      <c r="I183" s="4" t="s">
        <v>959</v>
      </c>
    </row>
    <row r="184" ht="32" customHeight="1" spans="1:9" x14ac:dyDescent="0.25">
      <c r="A184" s="20" t="s">
        <v>966</v>
      </c>
      <c r="B184" s="21" t="s">
        <v>967</v>
      </c>
      <c r="C184" s="21" t="s">
        <v>968</v>
      </c>
      <c r="D184" s="21" t="s">
        <v>965</v>
      </c>
      <c r="E184" s="22" t="s">
        <v>357</v>
      </c>
      <c r="F184" s="19">
        <v>709</v>
      </c>
      <c r="G184" s="19">
        <v>30</v>
      </c>
      <c r="H184" s="19">
        <f>IF(OR(F184="",G184=""),"",F184*G184)</f>
      </c>
      <c r="I184" s="21" t="s">
        <v>969</v>
      </c>
    </row>
    <row r="185" ht="19.5" customHeight="1" spans="1:9" x14ac:dyDescent="0.25">
      <c r="A185" s="23" t="s">
        <v>970</v>
      </c>
      <c r="B185"/>
      <c r="C185"/>
      <c r="D185"/>
      <c r="E185"/>
      <c r="F185"/>
      <c r="G185"/>
      <c r="H185" s="24">
        <f>SUM(H183:H185)</f>
      </c>
      <c r="I185" s="23" t="s">
        <v>296</v>
      </c>
    </row>
    <row r="186" spans="1:1" x14ac:dyDescent="0.25"/>
    <row r="187" spans="1:1" x14ac:dyDescent="0.25"/>
    <row r="188" ht="24" customHeight="1" spans="1:9" x14ac:dyDescent="0.25">
      <c r="A188" s="25" t="s">
        <v>971</v>
      </c>
      <c r="B188"/>
      <c r="C188"/>
      <c r="D188"/>
      <c r="E188"/>
      <c r="F188"/>
      <c r="G188"/>
      <c r="H188" s="26">
        <f>SUMIF(H4:H186,"&lt;&gt;")</f>
      </c>
      <c r="I188" s="25" t="s">
        <v>296</v>
      </c>
    </row>
  </sheetData>
  <mergeCells count="16">
    <mergeCell ref="A1:I1"/>
    <mergeCell ref="A2:I2"/>
    <mergeCell ref="A4:I4"/>
    <mergeCell ref="A5:I5"/>
    <mergeCell ref="A29:G29"/>
    <mergeCell ref="A31:I31"/>
    <mergeCell ref="A32:I32"/>
    <mergeCell ref="A35:G35"/>
    <mergeCell ref="A37:I37"/>
    <mergeCell ref="A38:I38"/>
    <mergeCell ref="A173:G173"/>
    <mergeCell ref="A175:I175"/>
    <mergeCell ref="A180:G180"/>
    <mergeCell ref="A182:I182"/>
    <mergeCell ref="A185:G185"/>
    <mergeCell ref="A188:G188"/>
  </mergeCells>
  <printOptions horizontalCentered="1"/>
  <pageMargins left="0.4" right="0.4" top="0.5" bottom="0.5" header="0.3" footer="0.3"/>
  <pageSetup paperSize="9" orientation="landscape" fitToWidth="1" fitToHeight="0"/>
  <headerFooter>
    <oddHeader>&amp;L&amp;"Arial,Bold"&amp;12Proposed B+G+8+R Commercial &amp; Residential Building&amp;R&amp;"Arial,Italic"&amp;10Job FA_P379 / CRs B/010/25</oddHeader>
    <oddFooter>&amp;LBill 5 — LV Power Cables&amp;RPage &amp;P of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16"/>
  <sheetViews>
    <sheetView workbookViewId="0">
      <pane ySplit="3" topLeftCell="A4" activePane="bottomLeft" state="frozen"/>
      <selection pane="bottomLeft" activeCell="A4" sqref="A4"/>
    </sheetView>
  </sheetViews>
  <sheetFormatPr defaultRowHeight="15" outlineLevelRow="0" outlineLevelCol="0" x14ac:dyDescent="55"/>
  <cols>
    <col min="1" max="1" width="7" customWidth="1"/>
    <col min="2" max="2" width="58" customWidth="1"/>
    <col min="3" max="3" width="22" customWidth="1"/>
    <col min="4" max="4" width="8" customWidth="1"/>
    <col min="6" max="6" width="13" customWidth="1"/>
    <col min="7" max="7" width="16" customWidth="1"/>
    <col min="8" max="8" width="32" customWidth="1"/>
  </cols>
  <sheetData>
    <row r="1" ht="27.75" customHeight="1" spans="1:8" x14ac:dyDescent="0.25">
      <c r="A1" s="1" t="s">
        <v>972</v>
      </c>
      <c r="B1"/>
      <c r="C1"/>
      <c r="D1"/>
      <c r="E1"/>
      <c r="F1"/>
      <c r="G1"/>
      <c r="H1"/>
    </row>
    <row r="2" ht="13.5" customHeight="1" spans="1:8" x14ac:dyDescent="0.25">
      <c r="A2" s="17" t="s">
        <v>273</v>
      </c>
      <c r="B2"/>
      <c r="C2"/>
      <c r="D2"/>
      <c r="E2"/>
      <c r="F2"/>
      <c r="G2"/>
      <c r="H2"/>
    </row>
    <row r="3" ht="27.75" customHeight="1" spans="1:9" x14ac:dyDescent="0.25">
      <c r="A3" s="6" t="s">
        <v>274</v>
      </c>
      <c r="B3" s="6" t="s">
        <v>41</v>
      </c>
      <c r="C3" s="6" t="s">
        <v>275</v>
      </c>
      <c r="D3" s="6" t="s">
        <v>276</v>
      </c>
      <c r="E3" s="6" t="s">
        <v>277</v>
      </c>
      <c r="F3" s="6" t="s">
        <v>278</v>
      </c>
      <c r="G3" s="6" t="s">
        <v>279</v>
      </c>
      <c r="H3" s="6" t="s">
        <v>280</v>
      </c>
    </row>
    <row r="4" ht="19.5" customHeight="1" spans="1:8" x14ac:dyDescent="0.25">
      <c r="A4" s="5" t="s">
        <v>973</v>
      </c>
      <c r="B4"/>
      <c r="C4"/>
      <c r="D4"/>
      <c r="E4"/>
      <c r="F4"/>
      <c r="G4"/>
      <c r="H4"/>
    </row>
    <row r="5" ht="60" customHeight="1" spans="1:8" x14ac:dyDescent="0.25">
      <c r="A5" s="18" t="s">
        <v>974</v>
      </c>
      <c r="B5" s="4" t="s">
        <v>975</v>
      </c>
      <c r="C5" s="4" t="s">
        <v>976</v>
      </c>
      <c r="D5" s="7" t="s">
        <v>357</v>
      </c>
      <c r="E5" s="19">
        <v>180</v>
      </c>
      <c r="F5" s="19">
        <v>385</v>
      </c>
      <c r="G5" s="19">
        <f>IF(OR(E5="",F5=""),"",E5*F5)</f>
      </c>
      <c r="H5" s="4" t="s">
        <v>977</v>
      </c>
    </row>
    <row r="6" ht="60" customHeight="1" spans="1:8" x14ac:dyDescent="0.25">
      <c r="A6" s="20" t="s">
        <v>978</v>
      </c>
      <c r="B6" s="21" t="s">
        <v>979</v>
      </c>
      <c r="C6" s="21" t="s">
        <v>976</v>
      </c>
      <c r="D6" s="22" t="s">
        <v>357</v>
      </c>
      <c r="E6" s="19">
        <v>320</v>
      </c>
      <c r="F6" s="19">
        <v>195</v>
      </c>
      <c r="G6" s="19">
        <f>IF(OR(E6="",F6=""),"",E6*F6)</f>
      </c>
      <c r="H6" s="21" t="s">
        <v>977</v>
      </c>
    </row>
    <row r="7" ht="60" customHeight="1" spans="1:8" x14ac:dyDescent="0.25">
      <c r="A7" s="18" t="s">
        <v>980</v>
      </c>
      <c r="B7" s="4" t="s">
        <v>981</v>
      </c>
      <c r="C7" s="4" t="s">
        <v>976</v>
      </c>
      <c r="D7" s="7" t="s">
        <v>357</v>
      </c>
      <c r="E7" s="19">
        <v>250</v>
      </c>
      <c r="F7" s="19">
        <v>160</v>
      </c>
      <c r="G7" s="19">
        <f>IF(OR(E7="",F7=""),"",E7*F7)</f>
      </c>
      <c r="H7" s="4" t="s">
        <v>977</v>
      </c>
    </row>
    <row r="8" ht="60" customHeight="1" spans="1:8" x14ac:dyDescent="0.25">
      <c r="A8" s="20" t="s">
        <v>982</v>
      </c>
      <c r="B8" s="21" t="s">
        <v>983</v>
      </c>
      <c r="C8" s="21" t="s">
        <v>976</v>
      </c>
      <c r="D8" s="22" t="s">
        <v>357</v>
      </c>
      <c r="E8" s="19">
        <v>120</v>
      </c>
      <c r="F8" s="19">
        <v>160</v>
      </c>
      <c r="G8" s="19">
        <f>IF(OR(E8="",F8=""),"",E8*F8)</f>
      </c>
      <c r="H8" s="21" t="s">
        <v>984</v>
      </c>
    </row>
    <row r="9" ht="60" customHeight="1" spans="1:8" x14ac:dyDescent="0.25">
      <c r="A9" s="18" t="s">
        <v>985</v>
      </c>
      <c r="B9" s="4" t="s">
        <v>986</v>
      </c>
      <c r="C9" s="4" t="s">
        <v>976</v>
      </c>
      <c r="D9" s="7" t="s">
        <v>357</v>
      </c>
      <c r="E9" s="19">
        <v>600</v>
      </c>
      <c r="F9" s="19">
        <v>48</v>
      </c>
      <c r="G9" s="19">
        <f>IF(OR(E9="",F9=""),"",E9*F9)</f>
      </c>
      <c r="H9" s="4" t="s">
        <v>984</v>
      </c>
    </row>
    <row r="10" ht="60" customHeight="1" spans="1:8" x14ac:dyDescent="0.25">
      <c r="A10" s="20" t="s">
        <v>987</v>
      </c>
      <c r="B10" s="21" t="s">
        <v>988</v>
      </c>
      <c r="C10" s="21" t="s">
        <v>976</v>
      </c>
      <c r="D10" s="22" t="s">
        <v>357</v>
      </c>
      <c r="E10" s="19">
        <v>2800</v>
      </c>
      <c r="F10" s="19">
        <v>48</v>
      </c>
      <c r="G10" s="19">
        <f>IF(OR(E10="",F10=""),"",E10*F10)</f>
      </c>
      <c r="H10" s="21" t="s">
        <v>984</v>
      </c>
    </row>
    <row r="11" ht="60" customHeight="1" spans="1:8" x14ac:dyDescent="0.25">
      <c r="A11" s="18" t="s">
        <v>989</v>
      </c>
      <c r="B11" s="4" t="s">
        <v>990</v>
      </c>
      <c r="C11" s="4" t="s">
        <v>976</v>
      </c>
      <c r="D11" s="7" t="s">
        <v>357</v>
      </c>
      <c r="E11" s="19">
        <v>9000</v>
      </c>
      <c r="F11" s="19">
        <v>48</v>
      </c>
      <c r="G11" s="19">
        <f>IF(OR(E11="",F11=""),"",E11*F11)</f>
      </c>
      <c r="H11" s="4" t="s">
        <v>984</v>
      </c>
    </row>
    <row r="12" ht="60" customHeight="1" spans="1:8" x14ac:dyDescent="0.25">
      <c r="A12" s="20" t="s">
        <v>991</v>
      </c>
      <c r="B12" s="21" t="s">
        <v>992</v>
      </c>
      <c r="C12" s="21" t="s">
        <v>976</v>
      </c>
      <c r="D12" s="22" t="s">
        <v>353</v>
      </c>
      <c r="E12" s="19">
        <v>400</v>
      </c>
      <c r="F12" s="19">
        <v>24</v>
      </c>
      <c r="G12" s="19">
        <f>IF(OR(E12="",F12=""),"",E12*F12)</f>
      </c>
      <c r="H12" s="21" t="s">
        <v>984</v>
      </c>
    </row>
    <row r="13" ht="19.5" customHeight="1" spans="1:8" x14ac:dyDescent="0.25">
      <c r="A13" s="23" t="s">
        <v>993</v>
      </c>
      <c r="B13"/>
      <c r="C13"/>
      <c r="D13"/>
      <c r="E13"/>
      <c r="F13"/>
      <c r="G13" s="24">
        <f>SUM(G5:G13)</f>
      </c>
      <c r="H13" s="23" t="s">
        <v>296</v>
      </c>
    </row>
    <row r="14" spans="1:1" x14ac:dyDescent="0.25"/>
    <row r="15" spans="1:1" x14ac:dyDescent="0.25"/>
    <row r="16" ht="24" customHeight="1" spans="1:8" x14ac:dyDescent="0.25">
      <c r="A16" s="25" t="s">
        <v>994</v>
      </c>
      <c r="B16"/>
      <c r="C16"/>
      <c r="D16"/>
      <c r="E16"/>
      <c r="F16"/>
      <c r="G16" s="26">
        <f>SUMIF(G4:G14,"&lt;&gt;")</f>
      </c>
      <c r="H16" s="25" t="s">
        <v>296</v>
      </c>
    </row>
  </sheetData>
  <mergeCells count="5">
    <mergeCell ref="A1:H1"/>
    <mergeCell ref="A2:H2"/>
    <mergeCell ref="A4:H4"/>
    <mergeCell ref="A13:F13"/>
    <mergeCell ref="A16:F16"/>
  </mergeCells>
  <printOptions horizontalCentered="1"/>
  <pageMargins left="0.4" right="0.4" top="0.5" bottom="0.5" header="0.3" footer="0.3"/>
  <pageSetup paperSize="9" orientation="portrait" fitToWidth="1" fitToHeight="0"/>
  <headerFooter>
    <oddHeader>&amp;L&amp;"Arial,Bold"&amp;12Proposed B+G+8+R Commercial &amp; Residential Building&amp;R&amp;"Arial,Italic"&amp;10Job FA_P379 / CRs B/010/25</oddHeader>
    <oddFooter>&amp;LBill 6 — CABLE CONTAINMENT (Tray, Ladder, Trunking, Conduit)&amp;RPage &amp;P of &amp;N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129"/>
  <sheetViews>
    <sheetView workbookViewId="0">
      <pane ySplit="3" topLeftCell="A4" activePane="bottomLeft" state="frozen"/>
      <selection pane="bottomLeft" activeCell="A4" sqref="A4"/>
    </sheetView>
  </sheetViews>
  <sheetFormatPr defaultRowHeight="15" outlineLevelRow="0" outlineLevelCol="0" x14ac:dyDescent="55"/>
  <cols>
    <col min="1" max="1" width="7" customWidth="1"/>
    <col min="2" max="2" width="58" customWidth="1"/>
    <col min="3" max="3" width="22" customWidth="1"/>
    <col min="4" max="4" width="8" customWidth="1"/>
    <col min="6" max="6" width="13" customWidth="1"/>
    <col min="7" max="7" width="16" customWidth="1"/>
    <col min="8" max="8" width="32" customWidth="1"/>
  </cols>
  <sheetData>
    <row r="1" ht="27.75" customHeight="1" spans="1:8" x14ac:dyDescent="0.25">
      <c r="A1" s="1" t="s">
        <v>995</v>
      </c>
      <c r="B1"/>
      <c r="C1"/>
      <c r="D1"/>
      <c r="E1"/>
      <c r="F1"/>
      <c r="G1"/>
      <c r="H1"/>
    </row>
    <row r="2" ht="13.5" customHeight="1" spans="1:8" x14ac:dyDescent="0.25">
      <c r="A2" s="17" t="s">
        <v>273</v>
      </c>
      <c r="B2"/>
      <c r="C2"/>
      <c r="D2"/>
      <c r="E2"/>
      <c r="F2"/>
      <c r="G2"/>
      <c r="H2"/>
    </row>
    <row r="3" ht="27.75" customHeight="1" spans="1:9" x14ac:dyDescent="0.25">
      <c r="A3" s="6" t="s">
        <v>274</v>
      </c>
      <c r="B3" s="6" t="s">
        <v>41</v>
      </c>
      <c r="C3" s="6" t="s">
        <v>275</v>
      </c>
      <c r="D3" s="6" t="s">
        <v>276</v>
      </c>
      <c r="E3" s="6" t="s">
        <v>277</v>
      </c>
      <c r="F3" s="6" t="s">
        <v>278</v>
      </c>
      <c r="G3" s="6" t="s">
        <v>279</v>
      </c>
      <c r="H3" s="6" t="s">
        <v>280</v>
      </c>
    </row>
    <row r="4" ht="19.5" customHeight="1" spans="1:8" x14ac:dyDescent="0.25">
      <c r="A4" s="5" t="s">
        <v>996</v>
      </c>
      <c r="B4"/>
      <c r="C4"/>
      <c r="D4"/>
      <c r="E4"/>
      <c r="F4"/>
      <c r="G4"/>
      <c r="H4"/>
    </row>
    <row r="5" ht="18" customHeight="1" spans="1:8" x14ac:dyDescent="0.25">
      <c r="A5" s="18" t="s">
        <v>997</v>
      </c>
      <c r="B5" s="4" t="s">
        <v>998</v>
      </c>
      <c r="C5" s="4" t="s">
        <v>999</v>
      </c>
      <c r="D5" s="7" t="s">
        <v>353</v>
      </c>
      <c r="E5" s="19">
        <v>40</v>
      </c>
      <c r="F5" s="19">
        <v>95</v>
      </c>
      <c r="G5" s="19">
        <f>IF(OR(E5="",F5=""),"",E5*F5)</f>
      </c>
      <c r="H5" s="4" t="s">
        <v>1000</v>
      </c>
    </row>
    <row r="6" ht="18" customHeight="1" spans="1:8" x14ac:dyDescent="0.25">
      <c r="A6" s="20" t="s">
        <v>1001</v>
      </c>
      <c r="B6" s="21" t="s">
        <v>1002</v>
      </c>
      <c r="C6" s="21" t="s">
        <v>999</v>
      </c>
      <c r="D6" s="22" t="s">
        <v>353</v>
      </c>
      <c r="E6" s="19">
        <v>16</v>
      </c>
      <c r="F6" s="19">
        <v>45</v>
      </c>
      <c r="G6" s="19">
        <f>IF(OR(E6="",F6=""),"",E6*F6)</f>
      </c>
      <c r="H6" s="21" t="s">
        <v>1000</v>
      </c>
    </row>
    <row r="7" ht="18" customHeight="1" spans="1:8" x14ac:dyDescent="0.25">
      <c r="A7" s="18" t="s">
        <v>1003</v>
      </c>
      <c r="B7" s="4" t="s">
        <v>1004</v>
      </c>
      <c r="C7" s="4" t="s">
        <v>999</v>
      </c>
      <c r="D7" s="7" t="s">
        <v>353</v>
      </c>
      <c r="E7" s="19">
        <v>6</v>
      </c>
      <c r="F7" s="19">
        <v>85</v>
      </c>
      <c r="G7" s="19">
        <f>IF(OR(E7="",F7=""),"",E7*F7)</f>
      </c>
      <c r="H7" s="4" t="s">
        <v>1000</v>
      </c>
    </row>
    <row r="8" ht="19.5" customHeight="1" spans="1:8" x14ac:dyDescent="0.25">
      <c r="A8" s="23" t="s">
        <v>1005</v>
      </c>
      <c r="B8"/>
      <c r="C8"/>
      <c r="D8"/>
      <c r="E8"/>
      <c r="F8"/>
      <c r="G8" s="24">
        <f>SUM(G5:G8)</f>
      </c>
      <c r="H8" s="23" t="s">
        <v>296</v>
      </c>
    </row>
    <row r="9" spans="1:1" x14ac:dyDescent="0.25"/>
    <row r="10" ht="19.5" customHeight="1" spans="1:8" x14ac:dyDescent="0.25">
      <c r="A10" s="5" t="s">
        <v>1006</v>
      </c>
      <c r="B10"/>
      <c r="C10"/>
      <c r="D10"/>
      <c r="E10"/>
      <c r="F10"/>
      <c r="G10"/>
      <c r="H10"/>
    </row>
    <row r="11" ht="18" customHeight="1" spans="1:8" x14ac:dyDescent="0.25">
      <c r="A11" s="18" t="s">
        <v>1007</v>
      </c>
      <c r="B11" s="4" t="s">
        <v>1002</v>
      </c>
      <c r="C11" s="4" t="s">
        <v>999</v>
      </c>
      <c r="D11" s="7" t="s">
        <v>353</v>
      </c>
      <c r="E11" s="19">
        <v>40</v>
      </c>
      <c r="F11" s="19">
        <v>45</v>
      </c>
      <c r="G11" s="19">
        <f>IF(OR(E11="",F11=""),"",E11*F11)</f>
      </c>
      <c r="H11" s="4" t="s">
        <v>1000</v>
      </c>
    </row>
    <row r="12" ht="18" customHeight="1" spans="1:8" x14ac:dyDescent="0.25">
      <c r="A12" s="20" t="s">
        <v>1008</v>
      </c>
      <c r="B12" s="21" t="s">
        <v>1009</v>
      </c>
      <c r="C12" s="21" t="s">
        <v>999</v>
      </c>
      <c r="D12" s="22" t="s">
        <v>353</v>
      </c>
      <c r="E12" s="19">
        <v>28</v>
      </c>
      <c r="F12" s="19"/>
      <c r="G12" s="19">
        <f>IF(OR(E12="",F12=""),"",E12*F12)</f>
      </c>
      <c r="H12" s="21" t="s">
        <v>1000</v>
      </c>
    </row>
    <row r="13" ht="18" customHeight="1" spans="1:8" x14ac:dyDescent="0.25">
      <c r="A13" s="18" t="s">
        <v>1010</v>
      </c>
      <c r="B13" s="4" t="s">
        <v>998</v>
      </c>
      <c r="C13" s="4" t="s">
        <v>999</v>
      </c>
      <c r="D13" s="7" t="s">
        <v>353</v>
      </c>
      <c r="E13" s="19">
        <v>20</v>
      </c>
      <c r="F13" s="19">
        <v>95</v>
      </c>
      <c r="G13" s="19">
        <f>IF(OR(E13="",F13=""),"",E13*F13)</f>
      </c>
      <c r="H13" s="4" t="s">
        <v>1000</v>
      </c>
    </row>
    <row r="14" ht="18" customHeight="1" spans="1:8" x14ac:dyDescent="0.25">
      <c r="A14" s="20" t="s">
        <v>1011</v>
      </c>
      <c r="B14" s="21" t="s">
        <v>1012</v>
      </c>
      <c r="C14" s="21" t="s">
        <v>999</v>
      </c>
      <c r="D14" s="22" t="s">
        <v>353</v>
      </c>
      <c r="E14" s="19">
        <v>18</v>
      </c>
      <c r="F14" s="19">
        <v>75</v>
      </c>
      <c r="G14" s="19">
        <f>IF(OR(E14="",F14=""),"",E14*F14)</f>
      </c>
      <c r="H14" s="21" t="s">
        <v>1000</v>
      </c>
    </row>
    <row r="15" ht="18" customHeight="1" spans="1:8" x14ac:dyDescent="0.25">
      <c r="A15" s="18" t="s">
        <v>1013</v>
      </c>
      <c r="B15" s="4" t="s">
        <v>1014</v>
      </c>
      <c r="C15" s="4" t="s">
        <v>999</v>
      </c>
      <c r="D15" s="7" t="s">
        <v>353</v>
      </c>
      <c r="E15" s="19">
        <v>8</v>
      </c>
      <c r="F15" s="19"/>
      <c r="G15" s="19">
        <f>IF(OR(E15="",F15=""),"",E15*F15)</f>
      </c>
      <c r="H15" s="4" t="s">
        <v>1000</v>
      </c>
    </row>
    <row r="16" ht="18" customHeight="1" spans="1:8" x14ac:dyDescent="0.25">
      <c r="A16" s="20" t="s">
        <v>1015</v>
      </c>
      <c r="B16" s="21" t="s">
        <v>1016</v>
      </c>
      <c r="C16" s="21" t="s">
        <v>999</v>
      </c>
      <c r="D16" s="22" t="s">
        <v>353</v>
      </c>
      <c r="E16" s="19">
        <v>6</v>
      </c>
      <c r="F16" s="19">
        <v>45</v>
      </c>
      <c r="G16" s="19">
        <f>IF(OR(E16="",F16=""),"",E16*F16)</f>
      </c>
      <c r="H16" s="21" t="s">
        <v>1000</v>
      </c>
    </row>
    <row r="17" ht="19.5" customHeight="1" spans="1:8" x14ac:dyDescent="0.25">
      <c r="A17" s="23" t="s">
        <v>1017</v>
      </c>
      <c r="B17"/>
      <c r="C17"/>
      <c r="D17"/>
      <c r="E17"/>
      <c r="F17"/>
      <c r="G17" s="24">
        <f>SUM(G11:G17)</f>
      </c>
      <c r="H17" s="23" t="s">
        <v>296</v>
      </c>
    </row>
    <row r="18" spans="1:1" x14ac:dyDescent="0.25"/>
    <row r="19" ht="19.5" customHeight="1" spans="1:8" x14ac:dyDescent="0.25">
      <c r="A19" s="5" t="s">
        <v>1018</v>
      </c>
      <c r="B19"/>
      <c r="C19"/>
      <c r="D19"/>
      <c r="E19"/>
      <c r="F19"/>
      <c r="G19"/>
      <c r="H19"/>
    </row>
    <row r="20" ht="18" customHeight="1" spans="1:8" x14ac:dyDescent="0.25">
      <c r="A20" s="18" t="s">
        <v>1019</v>
      </c>
      <c r="B20" s="4" t="s">
        <v>1002</v>
      </c>
      <c r="C20" s="4" t="s">
        <v>999</v>
      </c>
      <c r="D20" s="7" t="s">
        <v>353</v>
      </c>
      <c r="E20" s="19">
        <v>88</v>
      </c>
      <c r="F20" s="19">
        <v>45</v>
      </c>
      <c r="G20" s="19">
        <f>IF(OR(E20="",F20=""),"",E20*F20)</f>
      </c>
      <c r="H20" s="4" t="s">
        <v>1000</v>
      </c>
    </row>
    <row r="21" ht="18" customHeight="1" spans="1:8" x14ac:dyDescent="0.25">
      <c r="A21" s="20" t="s">
        <v>1020</v>
      </c>
      <c r="B21" s="21" t="s">
        <v>1009</v>
      </c>
      <c r="C21" s="21" t="s">
        <v>999</v>
      </c>
      <c r="D21" s="22" t="s">
        <v>353</v>
      </c>
      <c r="E21" s="19">
        <v>162</v>
      </c>
      <c r="F21" s="19"/>
      <c r="G21" s="19">
        <f>IF(OR(E21="",F21=""),"",E21*F21)</f>
      </c>
      <c r="H21" s="21" t="s">
        <v>1000</v>
      </c>
    </row>
    <row r="22" ht="18" customHeight="1" spans="1:8" x14ac:dyDescent="0.25">
      <c r="A22" s="18" t="s">
        <v>1021</v>
      </c>
      <c r="B22" s="4" t="s">
        <v>1022</v>
      </c>
      <c r="C22" s="4" t="s">
        <v>999</v>
      </c>
      <c r="D22" s="7" t="s">
        <v>353</v>
      </c>
      <c r="E22" s="19">
        <v>30</v>
      </c>
      <c r="F22" s="19">
        <v>180</v>
      </c>
      <c r="G22" s="19">
        <f>IF(OR(E22="",F22=""),"",E22*F22)</f>
      </c>
      <c r="H22" s="4" t="s">
        <v>1000</v>
      </c>
    </row>
    <row r="23" ht="18" customHeight="1" spans="1:8" x14ac:dyDescent="0.25">
      <c r="A23" s="20" t="s">
        <v>1023</v>
      </c>
      <c r="B23" s="21" t="s">
        <v>998</v>
      </c>
      <c r="C23" s="21" t="s">
        <v>999</v>
      </c>
      <c r="D23" s="22" t="s">
        <v>353</v>
      </c>
      <c r="E23" s="19">
        <v>30</v>
      </c>
      <c r="F23" s="19">
        <v>95</v>
      </c>
      <c r="G23" s="19">
        <f>IF(OR(E23="",F23=""),"",E23*F23)</f>
      </c>
      <c r="H23" s="21" t="s">
        <v>1000</v>
      </c>
    </row>
    <row r="24" ht="18" customHeight="1" spans="1:8" x14ac:dyDescent="0.25">
      <c r="A24" s="18" t="s">
        <v>1024</v>
      </c>
      <c r="B24" s="4" t="s">
        <v>1025</v>
      </c>
      <c r="C24" s="4" t="s">
        <v>999</v>
      </c>
      <c r="D24" s="7" t="s">
        <v>353</v>
      </c>
      <c r="E24" s="19">
        <v>22</v>
      </c>
      <c r="F24" s="19"/>
      <c r="G24" s="19">
        <f>IF(OR(E24="",F24=""),"",E24*F24)</f>
      </c>
      <c r="H24" s="4" t="s">
        <v>1000</v>
      </c>
    </row>
    <row r="25" ht="18" customHeight="1" spans="1:8" x14ac:dyDescent="0.25">
      <c r="A25" s="20" t="s">
        <v>1026</v>
      </c>
      <c r="B25" s="21" t="s">
        <v>1004</v>
      </c>
      <c r="C25" s="21" t="s">
        <v>999</v>
      </c>
      <c r="D25" s="22" t="s">
        <v>353</v>
      </c>
      <c r="E25" s="19">
        <v>30</v>
      </c>
      <c r="F25" s="19">
        <v>85</v>
      </c>
      <c r="G25" s="19">
        <f>IF(OR(E25="",F25=""),"",E25*F25)</f>
      </c>
      <c r="H25" s="21" t="s">
        <v>1000</v>
      </c>
    </row>
    <row r="26" ht="18" customHeight="1" spans="1:8" x14ac:dyDescent="0.25">
      <c r="A26" s="18" t="s">
        <v>1027</v>
      </c>
      <c r="B26" s="4" t="s">
        <v>1016</v>
      </c>
      <c r="C26" s="4" t="s">
        <v>999</v>
      </c>
      <c r="D26" s="7" t="s">
        <v>353</v>
      </c>
      <c r="E26" s="19">
        <v>48</v>
      </c>
      <c r="F26" s="19">
        <v>45</v>
      </c>
      <c r="G26" s="19">
        <f>IF(OR(E26="",F26=""),"",E26*F26)</f>
      </c>
      <c r="H26" s="4" t="s">
        <v>1000</v>
      </c>
    </row>
    <row r="27" ht="18" customHeight="1" spans="1:8" x14ac:dyDescent="0.25">
      <c r="A27" s="20" t="s">
        <v>1028</v>
      </c>
      <c r="B27" s="21" t="s">
        <v>1029</v>
      </c>
      <c r="C27" s="21" t="s">
        <v>999</v>
      </c>
      <c r="D27" s="22" t="s">
        <v>353</v>
      </c>
      <c r="E27" s="19">
        <v>15</v>
      </c>
      <c r="F27" s="19"/>
      <c r="G27" s="19">
        <f>IF(OR(E27="",F27=""),"",E27*F27)</f>
      </c>
      <c r="H27" s="21" t="s">
        <v>1000</v>
      </c>
    </row>
    <row r="28" ht="19.5" customHeight="1" spans="1:8" x14ac:dyDescent="0.25">
      <c r="A28" s="23" t="s">
        <v>1030</v>
      </c>
      <c r="B28"/>
      <c r="C28"/>
      <c r="D28"/>
      <c r="E28"/>
      <c r="F28"/>
      <c r="G28" s="24">
        <f>SUM(G20:G28)</f>
      </c>
      <c r="H28" s="23" t="s">
        <v>296</v>
      </c>
    </row>
    <row r="29" spans="1:1" x14ac:dyDescent="0.25"/>
    <row r="30" ht="19.5" customHeight="1" spans="1:8" x14ac:dyDescent="0.25">
      <c r="A30" s="5" t="s">
        <v>1031</v>
      </c>
      <c r="B30"/>
      <c r="C30"/>
      <c r="D30"/>
      <c r="E30"/>
      <c r="F30"/>
      <c r="G30"/>
      <c r="H30"/>
    </row>
    <row r="31" ht="18" customHeight="1" spans="1:8" x14ac:dyDescent="0.25">
      <c r="A31" s="18" t="s">
        <v>1032</v>
      </c>
      <c r="B31" s="4" t="s">
        <v>1002</v>
      </c>
      <c r="C31" s="4" t="s">
        <v>999</v>
      </c>
      <c r="D31" s="7" t="s">
        <v>353</v>
      </c>
      <c r="E31" s="19">
        <v>88</v>
      </c>
      <c r="F31" s="19">
        <v>45</v>
      </c>
      <c r="G31" s="19">
        <f>IF(OR(E31="",F31=""),"",E31*F31)</f>
      </c>
      <c r="H31" s="4" t="s">
        <v>1000</v>
      </c>
    </row>
    <row r="32" ht="18" customHeight="1" spans="1:8" x14ac:dyDescent="0.25">
      <c r="A32" s="20" t="s">
        <v>1033</v>
      </c>
      <c r="B32" s="21" t="s">
        <v>1009</v>
      </c>
      <c r="C32" s="21" t="s">
        <v>999</v>
      </c>
      <c r="D32" s="22" t="s">
        <v>353</v>
      </c>
      <c r="E32" s="19">
        <v>162</v>
      </c>
      <c r="F32" s="19"/>
      <c r="G32" s="19">
        <f>IF(OR(E32="",F32=""),"",E32*F32)</f>
      </c>
      <c r="H32" s="21" t="s">
        <v>1000</v>
      </c>
    </row>
    <row r="33" ht="18" customHeight="1" spans="1:8" x14ac:dyDescent="0.25">
      <c r="A33" s="18" t="s">
        <v>1034</v>
      </c>
      <c r="B33" s="4" t="s">
        <v>1022</v>
      </c>
      <c r="C33" s="4" t="s">
        <v>999</v>
      </c>
      <c r="D33" s="7" t="s">
        <v>353</v>
      </c>
      <c r="E33" s="19">
        <v>30</v>
      </c>
      <c r="F33" s="19">
        <v>180</v>
      </c>
      <c r="G33" s="19">
        <f>IF(OR(E33="",F33=""),"",E33*F33)</f>
      </c>
      <c r="H33" s="4" t="s">
        <v>1000</v>
      </c>
    </row>
    <row r="34" ht="18" customHeight="1" spans="1:8" x14ac:dyDescent="0.25">
      <c r="A34" s="20" t="s">
        <v>1035</v>
      </c>
      <c r="B34" s="21" t="s">
        <v>998</v>
      </c>
      <c r="C34" s="21" t="s">
        <v>999</v>
      </c>
      <c r="D34" s="22" t="s">
        <v>353</v>
      </c>
      <c r="E34" s="19">
        <v>30</v>
      </c>
      <c r="F34" s="19">
        <v>95</v>
      </c>
      <c r="G34" s="19">
        <f>IF(OR(E34="",F34=""),"",E34*F34)</f>
      </c>
      <c r="H34" s="21" t="s">
        <v>1000</v>
      </c>
    </row>
    <row r="35" ht="18" customHeight="1" spans="1:8" x14ac:dyDescent="0.25">
      <c r="A35" s="18" t="s">
        <v>1036</v>
      </c>
      <c r="B35" s="4" t="s">
        <v>1025</v>
      </c>
      <c r="C35" s="4" t="s">
        <v>999</v>
      </c>
      <c r="D35" s="7" t="s">
        <v>353</v>
      </c>
      <c r="E35" s="19">
        <v>22</v>
      </c>
      <c r="F35" s="19"/>
      <c r="G35" s="19">
        <f>IF(OR(E35="",F35=""),"",E35*F35)</f>
      </c>
      <c r="H35" s="4" t="s">
        <v>1000</v>
      </c>
    </row>
    <row r="36" ht="18" customHeight="1" spans="1:8" x14ac:dyDescent="0.25">
      <c r="A36" s="20" t="s">
        <v>1037</v>
      </c>
      <c r="B36" s="21" t="s">
        <v>1004</v>
      </c>
      <c r="C36" s="21" t="s">
        <v>999</v>
      </c>
      <c r="D36" s="22" t="s">
        <v>353</v>
      </c>
      <c r="E36" s="19">
        <v>30</v>
      </c>
      <c r="F36" s="19">
        <v>85</v>
      </c>
      <c r="G36" s="19">
        <f>IF(OR(E36="",F36=""),"",E36*F36)</f>
      </c>
      <c r="H36" s="21" t="s">
        <v>1000</v>
      </c>
    </row>
    <row r="37" ht="18" customHeight="1" spans="1:8" x14ac:dyDescent="0.25">
      <c r="A37" s="18" t="s">
        <v>1038</v>
      </c>
      <c r="B37" s="4" t="s">
        <v>1016</v>
      </c>
      <c r="C37" s="4" t="s">
        <v>999</v>
      </c>
      <c r="D37" s="7" t="s">
        <v>353</v>
      </c>
      <c r="E37" s="19">
        <v>48</v>
      </c>
      <c r="F37" s="19">
        <v>45</v>
      </c>
      <c r="G37" s="19">
        <f>IF(OR(E37="",F37=""),"",E37*F37)</f>
      </c>
      <c r="H37" s="4" t="s">
        <v>1000</v>
      </c>
    </row>
    <row r="38" ht="18" customHeight="1" spans="1:8" x14ac:dyDescent="0.25">
      <c r="A38" s="20" t="s">
        <v>1039</v>
      </c>
      <c r="B38" s="21" t="s">
        <v>1029</v>
      </c>
      <c r="C38" s="21" t="s">
        <v>999</v>
      </c>
      <c r="D38" s="22" t="s">
        <v>353</v>
      </c>
      <c r="E38" s="19">
        <v>15</v>
      </c>
      <c r="F38" s="19"/>
      <c r="G38" s="19">
        <f>IF(OR(E38="",F38=""),"",E38*F38)</f>
      </c>
      <c r="H38" s="21" t="s">
        <v>1000</v>
      </c>
    </row>
    <row r="39" ht="19.5" customHeight="1" spans="1:8" x14ac:dyDescent="0.25">
      <c r="A39" s="23" t="s">
        <v>1040</v>
      </c>
      <c r="B39"/>
      <c r="C39"/>
      <c r="D39"/>
      <c r="E39"/>
      <c r="F39"/>
      <c r="G39" s="24">
        <f>SUM(G31:G39)</f>
      </c>
      <c r="H39" s="23" t="s">
        <v>296</v>
      </c>
    </row>
    <row r="40" spans="1:1" x14ac:dyDescent="0.25"/>
    <row r="41" ht="19.5" customHeight="1" spans="1:8" x14ac:dyDescent="0.25">
      <c r="A41" s="5" t="s">
        <v>1041</v>
      </c>
      <c r="B41"/>
      <c r="C41"/>
      <c r="D41"/>
      <c r="E41"/>
      <c r="F41"/>
      <c r="G41"/>
      <c r="H41"/>
    </row>
    <row r="42" ht="18" customHeight="1" spans="1:8" x14ac:dyDescent="0.25">
      <c r="A42" s="18" t="s">
        <v>1042</v>
      </c>
      <c r="B42" s="4" t="s">
        <v>1002</v>
      </c>
      <c r="C42" s="4" t="s">
        <v>999</v>
      </c>
      <c r="D42" s="7" t="s">
        <v>353</v>
      </c>
      <c r="E42" s="19">
        <v>88</v>
      </c>
      <c r="F42" s="19">
        <v>45</v>
      </c>
      <c r="G42" s="19">
        <f>IF(OR(E42="",F42=""),"",E42*F42)</f>
      </c>
      <c r="H42" s="4" t="s">
        <v>1000</v>
      </c>
    </row>
    <row r="43" ht="18" customHeight="1" spans="1:8" x14ac:dyDescent="0.25">
      <c r="A43" s="20" t="s">
        <v>1043</v>
      </c>
      <c r="B43" s="21" t="s">
        <v>1009</v>
      </c>
      <c r="C43" s="21" t="s">
        <v>999</v>
      </c>
      <c r="D43" s="22" t="s">
        <v>353</v>
      </c>
      <c r="E43" s="19">
        <v>162</v>
      </c>
      <c r="F43" s="19"/>
      <c r="G43" s="19">
        <f>IF(OR(E43="",F43=""),"",E43*F43)</f>
      </c>
      <c r="H43" s="21" t="s">
        <v>1000</v>
      </c>
    </row>
    <row r="44" ht="18" customHeight="1" spans="1:8" x14ac:dyDescent="0.25">
      <c r="A44" s="18" t="s">
        <v>1044</v>
      </c>
      <c r="B44" s="4" t="s">
        <v>1022</v>
      </c>
      <c r="C44" s="4" t="s">
        <v>999</v>
      </c>
      <c r="D44" s="7" t="s">
        <v>353</v>
      </c>
      <c r="E44" s="19">
        <v>30</v>
      </c>
      <c r="F44" s="19">
        <v>180</v>
      </c>
      <c r="G44" s="19">
        <f>IF(OR(E44="",F44=""),"",E44*F44)</f>
      </c>
      <c r="H44" s="4" t="s">
        <v>1000</v>
      </c>
    </row>
    <row r="45" ht="18" customHeight="1" spans="1:8" x14ac:dyDescent="0.25">
      <c r="A45" s="20" t="s">
        <v>1045</v>
      </c>
      <c r="B45" s="21" t="s">
        <v>998</v>
      </c>
      <c r="C45" s="21" t="s">
        <v>999</v>
      </c>
      <c r="D45" s="22" t="s">
        <v>353</v>
      </c>
      <c r="E45" s="19">
        <v>30</v>
      </c>
      <c r="F45" s="19">
        <v>95</v>
      </c>
      <c r="G45" s="19">
        <f>IF(OR(E45="",F45=""),"",E45*F45)</f>
      </c>
      <c r="H45" s="21" t="s">
        <v>1000</v>
      </c>
    </row>
    <row r="46" ht="18" customHeight="1" spans="1:8" x14ac:dyDescent="0.25">
      <c r="A46" s="18" t="s">
        <v>1046</v>
      </c>
      <c r="B46" s="4" t="s">
        <v>1025</v>
      </c>
      <c r="C46" s="4" t="s">
        <v>999</v>
      </c>
      <c r="D46" s="7" t="s">
        <v>353</v>
      </c>
      <c r="E46" s="19">
        <v>22</v>
      </c>
      <c r="F46" s="19"/>
      <c r="G46" s="19">
        <f>IF(OR(E46="",F46=""),"",E46*F46)</f>
      </c>
      <c r="H46" s="4" t="s">
        <v>1000</v>
      </c>
    </row>
    <row r="47" ht="18" customHeight="1" spans="1:8" x14ac:dyDescent="0.25">
      <c r="A47" s="20" t="s">
        <v>1047</v>
      </c>
      <c r="B47" s="21" t="s">
        <v>1004</v>
      </c>
      <c r="C47" s="21" t="s">
        <v>999</v>
      </c>
      <c r="D47" s="22" t="s">
        <v>353</v>
      </c>
      <c r="E47" s="19">
        <v>30</v>
      </c>
      <c r="F47" s="19">
        <v>85</v>
      </c>
      <c r="G47" s="19">
        <f>IF(OR(E47="",F47=""),"",E47*F47)</f>
      </c>
      <c r="H47" s="21" t="s">
        <v>1000</v>
      </c>
    </row>
    <row r="48" ht="18" customHeight="1" spans="1:8" x14ac:dyDescent="0.25">
      <c r="A48" s="18" t="s">
        <v>1048</v>
      </c>
      <c r="B48" s="4" t="s">
        <v>1016</v>
      </c>
      <c r="C48" s="4" t="s">
        <v>999</v>
      </c>
      <c r="D48" s="7" t="s">
        <v>353</v>
      </c>
      <c r="E48" s="19">
        <v>48</v>
      </c>
      <c r="F48" s="19">
        <v>45</v>
      </c>
      <c r="G48" s="19">
        <f>IF(OR(E48="",F48=""),"",E48*F48)</f>
      </c>
      <c r="H48" s="4" t="s">
        <v>1000</v>
      </c>
    </row>
    <row r="49" ht="18" customHeight="1" spans="1:8" x14ac:dyDescent="0.25">
      <c r="A49" s="20" t="s">
        <v>1049</v>
      </c>
      <c r="B49" s="21" t="s">
        <v>1029</v>
      </c>
      <c r="C49" s="21" t="s">
        <v>999</v>
      </c>
      <c r="D49" s="22" t="s">
        <v>353</v>
      </c>
      <c r="E49" s="19">
        <v>15</v>
      </c>
      <c r="F49" s="19"/>
      <c r="G49" s="19">
        <f>IF(OR(E49="",F49=""),"",E49*F49)</f>
      </c>
      <c r="H49" s="21" t="s">
        <v>1000</v>
      </c>
    </row>
    <row r="50" ht="19.5" customHeight="1" spans="1:8" x14ac:dyDescent="0.25">
      <c r="A50" s="23" t="s">
        <v>1050</v>
      </c>
      <c r="B50"/>
      <c r="C50"/>
      <c r="D50"/>
      <c r="E50"/>
      <c r="F50"/>
      <c r="G50" s="24">
        <f>SUM(G42:G50)</f>
      </c>
      <c r="H50" s="23" t="s">
        <v>296</v>
      </c>
    </row>
    <row r="51" spans="1:1" x14ac:dyDescent="0.25"/>
    <row r="52" ht="19.5" customHeight="1" spans="1:8" x14ac:dyDescent="0.25">
      <c r="A52" s="5" t="s">
        <v>1051</v>
      </c>
      <c r="B52"/>
      <c r="C52"/>
      <c r="D52"/>
      <c r="E52"/>
      <c r="F52"/>
      <c r="G52"/>
      <c r="H52"/>
    </row>
    <row r="53" ht="18" customHeight="1" spans="1:8" x14ac:dyDescent="0.25">
      <c r="A53" s="18" t="s">
        <v>1052</v>
      </c>
      <c r="B53" s="4" t="s">
        <v>1002</v>
      </c>
      <c r="C53" s="4" t="s">
        <v>999</v>
      </c>
      <c r="D53" s="7" t="s">
        <v>353</v>
      </c>
      <c r="E53" s="19">
        <v>88</v>
      </c>
      <c r="F53" s="19">
        <v>45</v>
      </c>
      <c r="G53" s="19">
        <f>IF(OR(E53="",F53=""),"",E53*F53)</f>
      </c>
      <c r="H53" s="4" t="s">
        <v>1000</v>
      </c>
    </row>
    <row r="54" ht="18" customHeight="1" spans="1:8" x14ac:dyDescent="0.25">
      <c r="A54" s="20" t="s">
        <v>1053</v>
      </c>
      <c r="B54" s="21" t="s">
        <v>1009</v>
      </c>
      <c r="C54" s="21" t="s">
        <v>999</v>
      </c>
      <c r="D54" s="22" t="s">
        <v>353</v>
      </c>
      <c r="E54" s="19">
        <v>162</v>
      </c>
      <c r="F54" s="19"/>
      <c r="G54" s="19">
        <f>IF(OR(E54="",F54=""),"",E54*F54)</f>
      </c>
      <c r="H54" s="21" t="s">
        <v>1000</v>
      </c>
    </row>
    <row r="55" ht="18" customHeight="1" spans="1:8" x14ac:dyDescent="0.25">
      <c r="A55" s="18" t="s">
        <v>1054</v>
      </c>
      <c r="B55" s="4" t="s">
        <v>1022</v>
      </c>
      <c r="C55" s="4" t="s">
        <v>999</v>
      </c>
      <c r="D55" s="7" t="s">
        <v>353</v>
      </c>
      <c r="E55" s="19">
        <v>30</v>
      </c>
      <c r="F55" s="19">
        <v>180</v>
      </c>
      <c r="G55" s="19">
        <f>IF(OR(E55="",F55=""),"",E55*F55)</f>
      </c>
      <c r="H55" s="4" t="s">
        <v>1000</v>
      </c>
    </row>
    <row r="56" ht="18" customHeight="1" spans="1:8" x14ac:dyDescent="0.25">
      <c r="A56" s="20" t="s">
        <v>1055</v>
      </c>
      <c r="B56" s="21" t="s">
        <v>998</v>
      </c>
      <c r="C56" s="21" t="s">
        <v>999</v>
      </c>
      <c r="D56" s="22" t="s">
        <v>353</v>
      </c>
      <c r="E56" s="19">
        <v>30</v>
      </c>
      <c r="F56" s="19">
        <v>95</v>
      </c>
      <c r="G56" s="19">
        <f>IF(OR(E56="",F56=""),"",E56*F56)</f>
      </c>
      <c r="H56" s="21" t="s">
        <v>1000</v>
      </c>
    </row>
    <row r="57" ht="18" customHeight="1" spans="1:8" x14ac:dyDescent="0.25">
      <c r="A57" s="18" t="s">
        <v>1056</v>
      </c>
      <c r="B57" s="4" t="s">
        <v>1025</v>
      </c>
      <c r="C57" s="4" t="s">
        <v>999</v>
      </c>
      <c r="D57" s="7" t="s">
        <v>353</v>
      </c>
      <c r="E57" s="19">
        <v>22</v>
      </c>
      <c r="F57" s="19"/>
      <c r="G57" s="19">
        <f>IF(OR(E57="",F57=""),"",E57*F57)</f>
      </c>
      <c r="H57" s="4" t="s">
        <v>1000</v>
      </c>
    </row>
    <row r="58" ht="18" customHeight="1" spans="1:8" x14ac:dyDescent="0.25">
      <c r="A58" s="20" t="s">
        <v>1057</v>
      </c>
      <c r="B58" s="21" t="s">
        <v>1004</v>
      </c>
      <c r="C58" s="21" t="s">
        <v>999</v>
      </c>
      <c r="D58" s="22" t="s">
        <v>353</v>
      </c>
      <c r="E58" s="19">
        <v>30</v>
      </c>
      <c r="F58" s="19">
        <v>85</v>
      </c>
      <c r="G58" s="19">
        <f>IF(OR(E58="",F58=""),"",E58*F58)</f>
      </c>
      <c r="H58" s="21" t="s">
        <v>1000</v>
      </c>
    </row>
    <row r="59" ht="18" customHeight="1" spans="1:8" x14ac:dyDescent="0.25">
      <c r="A59" s="18" t="s">
        <v>1058</v>
      </c>
      <c r="B59" s="4" t="s">
        <v>1016</v>
      </c>
      <c r="C59" s="4" t="s">
        <v>999</v>
      </c>
      <c r="D59" s="7" t="s">
        <v>353</v>
      </c>
      <c r="E59" s="19">
        <v>48</v>
      </c>
      <c r="F59" s="19">
        <v>45</v>
      </c>
      <c r="G59" s="19">
        <f>IF(OR(E59="",F59=""),"",E59*F59)</f>
      </c>
      <c r="H59" s="4" t="s">
        <v>1000</v>
      </c>
    </row>
    <row r="60" ht="18" customHeight="1" spans="1:8" x14ac:dyDescent="0.25">
      <c r="A60" s="20" t="s">
        <v>1059</v>
      </c>
      <c r="B60" s="21" t="s">
        <v>1029</v>
      </c>
      <c r="C60" s="21" t="s">
        <v>999</v>
      </c>
      <c r="D60" s="22" t="s">
        <v>353</v>
      </c>
      <c r="E60" s="19">
        <v>15</v>
      </c>
      <c r="F60" s="19"/>
      <c r="G60" s="19">
        <f>IF(OR(E60="",F60=""),"",E60*F60)</f>
      </c>
      <c r="H60" s="21" t="s">
        <v>1000</v>
      </c>
    </row>
    <row r="61" ht="19.5" customHeight="1" spans="1:8" x14ac:dyDescent="0.25">
      <c r="A61" s="23" t="s">
        <v>1060</v>
      </c>
      <c r="B61"/>
      <c r="C61"/>
      <c r="D61"/>
      <c r="E61"/>
      <c r="F61"/>
      <c r="G61" s="24">
        <f>SUM(G53:G61)</f>
      </c>
      <c r="H61" s="23" t="s">
        <v>296</v>
      </c>
    </row>
    <row r="62" spans="1:1" x14ac:dyDescent="0.25"/>
    <row r="63" ht="19.5" customHeight="1" spans="1:8" x14ac:dyDescent="0.25">
      <c r="A63" s="5" t="s">
        <v>1061</v>
      </c>
      <c r="B63"/>
      <c r="C63"/>
      <c r="D63"/>
      <c r="E63"/>
      <c r="F63"/>
      <c r="G63"/>
      <c r="H63"/>
    </row>
    <row r="64" ht="18" customHeight="1" spans="1:8" x14ac:dyDescent="0.25">
      <c r="A64" s="18" t="s">
        <v>1062</v>
      </c>
      <c r="B64" s="4" t="s">
        <v>1002</v>
      </c>
      <c r="C64" s="4" t="s">
        <v>999</v>
      </c>
      <c r="D64" s="7" t="s">
        <v>353</v>
      </c>
      <c r="E64" s="19">
        <v>88</v>
      </c>
      <c r="F64" s="19">
        <v>45</v>
      </c>
      <c r="G64" s="19">
        <f>IF(OR(E64="",F64=""),"",E64*F64)</f>
      </c>
      <c r="H64" s="4" t="s">
        <v>1000</v>
      </c>
    </row>
    <row r="65" ht="18" customHeight="1" spans="1:8" x14ac:dyDescent="0.25">
      <c r="A65" s="20" t="s">
        <v>1063</v>
      </c>
      <c r="B65" s="21" t="s">
        <v>1009</v>
      </c>
      <c r="C65" s="21" t="s">
        <v>999</v>
      </c>
      <c r="D65" s="22" t="s">
        <v>353</v>
      </c>
      <c r="E65" s="19">
        <v>162</v>
      </c>
      <c r="F65" s="19"/>
      <c r="G65" s="19">
        <f>IF(OR(E65="",F65=""),"",E65*F65)</f>
      </c>
      <c r="H65" s="21" t="s">
        <v>1000</v>
      </c>
    </row>
    <row r="66" ht="18" customHeight="1" spans="1:8" x14ac:dyDescent="0.25">
      <c r="A66" s="18" t="s">
        <v>1064</v>
      </c>
      <c r="B66" s="4" t="s">
        <v>1022</v>
      </c>
      <c r="C66" s="4" t="s">
        <v>999</v>
      </c>
      <c r="D66" s="7" t="s">
        <v>353</v>
      </c>
      <c r="E66" s="19">
        <v>30</v>
      </c>
      <c r="F66" s="19">
        <v>180</v>
      </c>
      <c r="G66" s="19">
        <f>IF(OR(E66="",F66=""),"",E66*F66)</f>
      </c>
      <c r="H66" s="4" t="s">
        <v>1000</v>
      </c>
    </row>
    <row r="67" ht="18" customHeight="1" spans="1:8" x14ac:dyDescent="0.25">
      <c r="A67" s="20" t="s">
        <v>1065</v>
      </c>
      <c r="B67" s="21" t="s">
        <v>998</v>
      </c>
      <c r="C67" s="21" t="s">
        <v>999</v>
      </c>
      <c r="D67" s="22" t="s">
        <v>353</v>
      </c>
      <c r="E67" s="19">
        <v>30</v>
      </c>
      <c r="F67" s="19">
        <v>95</v>
      </c>
      <c r="G67" s="19">
        <f>IF(OR(E67="",F67=""),"",E67*F67)</f>
      </c>
      <c r="H67" s="21" t="s">
        <v>1000</v>
      </c>
    </row>
    <row r="68" ht="18" customHeight="1" spans="1:8" x14ac:dyDescent="0.25">
      <c r="A68" s="18" t="s">
        <v>1066</v>
      </c>
      <c r="B68" s="4" t="s">
        <v>1025</v>
      </c>
      <c r="C68" s="4" t="s">
        <v>999</v>
      </c>
      <c r="D68" s="7" t="s">
        <v>353</v>
      </c>
      <c r="E68" s="19">
        <v>22</v>
      </c>
      <c r="F68" s="19"/>
      <c r="G68" s="19">
        <f>IF(OR(E68="",F68=""),"",E68*F68)</f>
      </c>
      <c r="H68" s="4" t="s">
        <v>1000</v>
      </c>
    </row>
    <row r="69" ht="18" customHeight="1" spans="1:8" x14ac:dyDescent="0.25">
      <c r="A69" s="20" t="s">
        <v>1067</v>
      </c>
      <c r="B69" s="21" t="s">
        <v>1004</v>
      </c>
      <c r="C69" s="21" t="s">
        <v>999</v>
      </c>
      <c r="D69" s="22" t="s">
        <v>353</v>
      </c>
      <c r="E69" s="19">
        <v>30</v>
      </c>
      <c r="F69" s="19">
        <v>85</v>
      </c>
      <c r="G69" s="19">
        <f>IF(OR(E69="",F69=""),"",E69*F69)</f>
      </c>
      <c r="H69" s="21" t="s">
        <v>1000</v>
      </c>
    </row>
    <row r="70" ht="18" customHeight="1" spans="1:8" x14ac:dyDescent="0.25">
      <c r="A70" s="18" t="s">
        <v>1068</v>
      </c>
      <c r="B70" s="4" t="s">
        <v>1016</v>
      </c>
      <c r="C70" s="4" t="s">
        <v>999</v>
      </c>
      <c r="D70" s="7" t="s">
        <v>353</v>
      </c>
      <c r="E70" s="19">
        <v>48</v>
      </c>
      <c r="F70" s="19">
        <v>45</v>
      </c>
      <c r="G70" s="19">
        <f>IF(OR(E70="",F70=""),"",E70*F70)</f>
      </c>
      <c r="H70" s="4" t="s">
        <v>1000</v>
      </c>
    </row>
    <row r="71" ht="18" customHeight="1" spans="1:8" x14ac:dyDescent="0.25">
      <c r="A71" s="20" t="s">
        <v>1069</v>
      </c>
      <c r="B71" s="21" t="s">
        <v>1029</v>
      </c>
      <c r="C71" s="21" t="s">
        <v>999</v>
      </c>
      <c r="D71" s="22" t="s">
        <v>353</v>
      </c>
      <c r="E71" s="19">
        <v>15</v>
      </c>
      <c r="F71" s="19"/>
      <c r="G71" s="19">
        <f>IF(OR(E71="",F71=""),"",E71*F71)</f>
      </c>
      <c r="H71" s="21" t="s">
        <v>1000</v>
      </c>
    </row>
    <row r="72" ht="19.5" customHeight="1" spans="1:8" x14ac:dyDescent="0.25">
      <c r="A72" s="23" t="s">
        <v>1070</v>
      </c>
      <c r="B72"/>
      <c r="C72"/>
      <c r="D72"/>
      <c r="E72"/>
      <c r="F72"/>
      <c r="G72" s="24">
        <f>SUM(G64:G72)</f>
      </c>
      <c r="H72" s="23" t="s">
        <v>296</v>
      </c>
    </row>
    <row r="73" spans="1:1" x14ac:dyDescent="0.25"/>
    <row r="74" ht="19.5" customHeight="1" spans="1:8" x14ac:dyDescent="0.25">
      <c r="A74" s="5" t="s">
        <v>1071</v>
      </c>
      <c r="B74"/>
      <c r="C74"/>
      <c r="D74"/>
      <c r="E74"/>
      <c r="F74"/>
      <c r="G74"/>
      <c r="H74"/>
    </row>
    <row r="75" ht="18" customHeight="1" spans="1:8" x14ac:dyDescent="0.25">
      <c r="A75" s="18" t="s">
        <v>1072</v>
      </c>
      <c r="B75" s="4" t="s">
        <v>1002</v>
      </c>
      <c r="C75" s="4" t="s">
        <v>999</v>
      </c>
      <c r="D75" s="7" t="s">
        <v>353</v>
      </c>
      <c r="E75" s="19">
        <v>88</v>
      </c>
      <c r="F75" s="19">
        <v>45</v>
      </c>
      <c r="G75" s="19">
        <f>IF(OR(E75="",F75=""),"",E75*F75)</f>
      </c>
      <c r="H75" s="4" t="s">
        <v>1000</v>
      </c>
    </row>
    <row r="76" ht="18" customHeight="1" spans="1:8" x14ac:dyDescent="0.25">
      <c r="A76" s="20" t="s">
        <v>1073</v>
      </c>
      <c r="B76" s="21" t="s">
        <v>1009</v>
      </c>
      <c r="C76" s="21" t="s">
        <v>999</v>
      </c>
      <c r="D76" s="22" t="s">
        <v>353</v>
      </c>
      <c r="E76" s="19">
        <v>162</v>
      </c>
      <c r="F76" s="19"/>
      <c r="G76" s="19">
        <f>IF(OR(E76="",F76=""),"",E76*F76)</f>
      </c>
      <c r="H76" s="21" t="s">
        <v>1000</v>
      </c>
    </row>
    <row r="77" ht="18" customHeight="1" spans="1:8" x14ac:dyDescent="0.25">
      <c r="A77" s="18" t="s">
        <v>1074</v>
      </c>
      <c r="B77" s="4" t="s">
        <v>1022</v>
      </c>
      <c r="C77" s="4" t="s">
        <v>999</v>
      </c>
      <c r="D77" s="7" t="s">
        <v>353</v>
      </c>
      <c r="E77" s="19">
        <v>30</v>
      </c>
      <c r="F77" s="19">
        <v>180</v>
      </c>
      <c r="G77" s="19">
        <f>IF(OR(E77="",F77=""),"",E77*F77)</f>
      </c>
      <c r="H77" s="4" t="s">
        <v>1000</v>
      </c>
    </row>
    <row r="78" ht="18" customHeight="1" spans="1:8" x14ac:dyDescent="0.25">
      <c r="A78" s="20" t="s">
        <v>1075</v>
      </c>
      <c r="B78" s="21" t="s">
        <v>998</v>
      </c>
      <c r="C78" s="21" t="s">
        <v>999</v>
      </c>
      <c r="D78" s="22" t="s">
        <v>353</v>
      </c>
      <c r="E78" s="19">
        <v>30</v>
      </c>
      <c r="F78" s="19">
        <v>95</v>
      </c>
      <c r="G78" s="19">
        <f>IF(OR(E78="",F78=""),"",E78*F78)</f>
      </c>
      <c r="H78" s="21" t="s">
        <v>1000</v>
      </c>
    </row>
    <row r="79" ht="18" customHeight="1" spans="1:8" x14ac:dyDescent="0.25">
      <c r="A79" s="18" t="s">
        <v>1076</v>
      </c>
      <c r="B79" s="4" t="s">
        <v>1025</v>
      </c>
      <c r="C79" s="4" t="s">
        <v>999</v>
      </c>
      <c r="D79" s="7" t="s">
        <v>353</v>
      </c>
      <c r="E79" s="19">
        <v>22</v>
      </c>
      <c r="F79" s="19"/>
      <c r="G79" s="19">
        <f>IF(OR(E79="",F79=""),"",E79*F79)</f>
      </c>
      <c r="H79" s="4" t="s">
        <v>1000</v>
      </c>
    </row>
    <row r="80" ht="18" customHeight="1" spans="1:8" x14ac:dyDescent="0.25">
      <c r="A80" s="20" t="s">
        <v>1077</v>
      </c>
      <c r="B80" s="21" t="s">
        <v>1004</v>
      </c>
      <c r="C80" s="21" t="s">
        <v>999</v>
      </c>
      <c r="D80" s="22" t="s">
        <v>353</v>
      </c>
      <c r="E80" s="19">
        <v>30</v>
      </c>
      <c r="F80" s="19">
        <v>85</v>
      </c>
      <c r="G80" s="19">
        <f>IF(OR(E80="",F80=""),"",E80*F80)</f>
      </c>
      <c r="H80" s="21" t="s">
        <v>1000</v>
      </c>
    </row>
    <row r="81" ht="18" customHeight="1" spans="1:8" x14ac:dyDescent="0.25">
      <c r="A81" s="18" t="s">
        <v>1078</v>
      </c>
      <c r="B81" s="4" t="s">
        <v>1016</v>
      </c>
      <c r="C81" s="4" t="s">
        <v>999</v>
      </c>
      <c r="D81" s="7" t="s">
        <v>353</v>
      </c>
      <c r="E81" s="19">
        <v>48</v>
      </c>
      <c r="F81" s="19">
        <v>45</v>
      </c>
      <c r="G81" s="19">
        <f>IF(OR(E81="",F81=""),"",E81*F81)</f>
      </c>
      <c r="H81" s="4" t="s">
        <v>1000</v>
      </c>
    </row>
    <row r="82" ht="18" customHeight="1" spans="1:8" x14ac:dyDescent="0.25">
      <c r="A82" s="20" t="s">
        <v>1079</v>
      </c>
      <c r="B82" s="21" t="s">
        <v>1029</v>
      </c>
      <c r="C82" s="21" t="s">
        <v>999</v>
      </c>
      <c r="D82" s="22" t="s">
        <v>353</v>
      </c>
      <c r="E82" s="19">
        <v>15</v>
      </c>
      <c r="F82" s="19"/>
      <c r="G82" s="19">
        <f>IF(OR(E82="",F82=""),"",E82*F82)</f>
      </c>
      <c r="H82" s="21" t="s">
        <v>1000</v>
      </c>
    </row>
    <row r="83" ht="19.5" customHeight="1" spans="1:8" x14ac:dyDescent="0.25">
      <c r="A83" s="23" t="s">
        <v>1080</v>
      </c>
      <c r="B83"/>
      <c r="C83"/>
      <c r="D83"/>
      <c r="E83"/>
      <c r="F83"/>
      <c r="G83" s="24">
        <f>SUM(G75:G83)</f>
      </c>
      <c r="H83" s="23" t="s">
        <v>296</v>
      </c>
    </row>
    <row r="84" spans="1:1" x14ac:dyDescent="0.25"/>
    <row r="85" ht="19.5" customHeight="1" spans="1:8" x14ac:dyDescent="0.25">
      <c r="A85" s="5" t="s">
        <v>1081</v>
      </c>
      <c r="B85"/>
      <c r="C85"/>
      <c r="D85"/>
      <c r="E85"/>
      <c r="F85"/>
      <c r="G85"/>
      <c r="H85"/>
    </row>
    <row r="86" ht="18" customHeight="1" spans="1:8" x14ac:dyDescent="0.25">
      <c r="A86" s="18" t="s">
        <v>1082</v>
      </c>
      <c r="B86" s="4" t="s">
        <v>1002</v>
      </c>
      <c r="C86" s="4" t="s">
        <v>999</v>
      </c>
      <c r="D86" s="7" t="s">
        <v>353</v>
      </c>
      <c r="E86" s="19">
        <v>88</v>
      </c>
      <c r="F86" s="19">
        <v>45</v>
      </c>
      <c r="G86" s="19">
        <f>IF(OR(E86="",F86=""),"",E86*F86)</f>
      </c>
      <c r="H86" s="4" t="s">
        <v>1000</v>
      </c>
    </row>
    <row r="87" ht="18" customHeight="1" spans="1:8" x14ac:dyDescent="0.25">
      <c r="A87" s="20" t="s">
        <v>1083</v>
      </c>
      <c r="B87" s="21" t="s">
        <v>1009</v>
      </c>
      <c r="C87" s="21" t="s">
        <v>999</v>
      </c>
      <c r="D87" s="22" t="s">
        <v>353</v>
      </c>
      <c r="E87" s="19">
        <v>162</v>
      </c>
      <c r="F87" s="19"/>
      <c r="G87" s="19">
        <f>IF(OR(E87="",F87=""),"",E87*F87)</f>
      </c>
      <c r="H87" s="21" t="s">
        <v>1000</v>
      </c>
    </row>
    <row r="88" ht="18" customHeight="1" spans="1:8" x14ac:dyDescent="0.25">
      <c r="A88" s="18" t="s">
        <v>1084</v>
      </c>
      <c r="B88" s="4" t="s">
        <v>1022</v>
      </c>
      <c r="C88" s="4" t="s">
        <v>999</v>
      </c>
      <c r="D88" s="7" t="s">
        <v>353</v>
      </c>
      <c r="E88" s="19">
        <v>30</v>
      </c>
      <c r="F88" s="19">
        <v>180</v>
      </c>
      <c r="G88" s="19">
        <f>IF(OR(E88="",F88=""),"",E88*F88)</f>
      </c>
      <c r="H88" s="4" t="s">
        <v>1000</v>
      </c>
    </row>
    <row r="89" ht="18" customHeight="1" spans="1:8" x14ac:dyDescent="0.25">
      <c r="A89" s="20" t="s">
        <v>1085</v>
      </c>
      <c r="B89" s="21" t="s">
        <v>998</v>
      </c>
      <c r="C89" s="21" t="s">
        <v>999</v>
      </c>
      <c r="D89" s="22" t="s">
        <v>353</v>
      </c>
      <c r="E89" s="19">
        <v>30</v>
      </c>
      <c r="F89" s="19">
        <v>95</v>
      </c>
      <c r="G89" s="19">
        <f>IF(OR(E89="",F89=""),"",E89*F89)</f>
      </c>
      <c r="H89" s="21" t="s">
        <v>1000</v>
      </c>
    </row>
    <row r="90" ht="18" customHeight="1" spans="1:8" x14ac:dyDescent="0.25">
      <c r="A90" s="18" t="s">
        <v>1086</v>
      </c>
      <c r="B90" s="4" t="s">
        <v>1025</v>
      </c>
      <c r="C90" s="4" t="s">
        <v>999</v>
      </c>
      <c r="D90" s="7" t="s">
        <v>353</v>
      </c>
      <c r="E90" s="19">
        <v>22</v>
      </c>
      <c r="F90" s="19"/>
      <c r="G90" s="19">
        <f>IF(OR(E90="",F90=""),"",E90*F90)</f>
      </c>
      <c r="H90" s="4" t="s">
        <v>1000</v>
      </c>
    </row>
    <row r="91" ht="18" customHeight="1" spans="1:8" x14ac:dyDescent="0.25">
      <c r="A91" s="20" t="s">
        <v>1087</v>
      </c>
      <c r="B91" s="21" t="s">
        <v>1004</v>
      </c>
      <c r="C91" s="21" t="s">
        <v>999</v>
      </c>
      <c r="D91" s="22" t="s">
        <v>353</v>
      </c>
      <c r="E91" s="19">
        <v>30</v>
      </c>
      <c r="F91" s="19">
        <v>85</v>
      </c>
      <c r="G91" s="19">
        <f>IF(OR(E91="",F91=""),"",E91*F91)</f>
      </c>
      <c r="H91" s="21" t="s">
        <v>1000</v>
      </c>
    </row>
    <row r="92" ht="18" customHeight="1" spans="1:8" x14ac:dyDescent="0.25">
      <c r="A92" s="18" t="s">
        <v>1088</v>
      </c>
      <c r="B92" s="4" t="s">
        <v>1016</v>
      </c>
      <c r="C92" s="4" t="s">
        <v>999</v>
      </c>
      <c r="D92" s="7" t="s">
        <v>353</v>
      </c>
      <c r="E92" s="19">
        <v>48</v>
      </c>
      <c r="F92" s="19">
        <v>45</v>
      </c>
      <c r="G92" s="19">
        <f>IF(OR(E92="",F92=""),"",E92*F92)</f>
      </c>
      <c r="H92" s="4" t="s">
        <v>1000</v>
      </c>
    </row>
    <row r="93" ht="18" customHeight="1" spans="1:8" x14ac:dyDescent="0.25">
      <c r="A93" s="20" t="s">
        <v>1089</v>
      </c>
      <c r="B93" s="21" t="s">
        <v>1029</v>
      </c>
      <c r="C93" s="21" t="s">
        <v>999</v>
      </c>
      <c r="D93" s="22" t="s">
        <v>353</v>
      </c>
      <c r="E93" s="19">
        <v>15</v>
      </c>
      <c r="F93" s="19"/>
      <c r="G93" s="19">
        <f>IF(OR(E93="",F93=""),"",E93*F93)</f>
      </c>
      <c r="H93" s="21" t="s">
        <v>1000</v>
      </c>
    </row>
    <row r="94" ht="19.5" customHeight="1" spans="1:8" x14ac:dyDescent="0.25">
      <c r="A94" s="23" t="s">
        <v>1090</v>
      </c>
      <c r="B94"/>
      <c r="C94"/>
      <c r="D94"/>
      <c r="E94"/>
      <c r="F94"/>
      <c r="G94" s="24">
        <f>SUM(G86:G94)</f>
      </c>
      <c r="H94" s="23" t="s">
        <v>296</v>
      </c>
    </row>
    <row r="95" spans="1:1" x14ac:dyDescent="0.25"/>
    <row r="96" ht="19.5" customHeight="1" spans="1:8" x14ac:dyDescent="0.25">
      <c r="A96" s="5" t="s">
        <v>1091</v>
      </c>
      <c r="B96"/>
      <c r="C96"/>
      <c r="D96"/>
      <c r="E96"/>
      <c r="F96"/>
      <c r="G96"/>
      <c r="H96"/>
    </row>
    <row r="97" ht="18" customHeight="1" spans="1:8" x14ac:dyDescent="0.25">
      <c r="A97" s="18" t="s">
        <v>1092</v>
      </c>
      <c r="B97" s="4" t="s">
        <v>1002</v>
      </c>
      <c r="C97" s="4" t="s">
        <v>999</v>
      </c>
      <c r="D97" s="7" t="s">
        <v>353</v>
      </c>
      <c r="E97" s="19">
        <v>88</v>
      </c>
      <c r="F97" s="19">
        <v>45</v>
      </c>
      <c r="G97" s="19">
        <f>IF(OR(E97="",F97=""),"",E97*F97)</f>
      </c>
      <c r="H97" s="4" t="s">
        <v>1000</v>
      </c>
    </row>
    <row r="98" ht="18" customHeight="1" spans="1:8" x14ac:dyDescent="0.25">
      <c r="A98" s="20" t="s">
        <v>1093</v>
      </c>
      <c r="B98" s="21" t="s">
        <v>1009</v>
      </c>
      <c r="C98" s="21" t="s">
        <v>999</v>
      </c>
      <c r="D98" s="22" t="s">
        <v>353</v>
      </c>
      <c r="E98" s="19">
        <v>162</v>
      </c>
      <c r="F98" s="19"/>
      <c r="G98" s="19">
        <f>IF(OR(E98="",F98=""),"",E98*F98)</f>
      </c>
      <c r="H98" s="21" t="s">
        <v>1000</v>
      </c>
    </row>
    <row r="99" ht="18" customHeight="1" spans="1:8" x14ac:dyDescent="0.25">
      <c r="A99" s="18" t="s">
        <v>1094</v>
      </c>
      <c r="B99" s="4" t="s">
        <v>1022</v>
      </c>
      <c r="C99" s="4" t="s">
        <v>999</v>
      </c>
      <c r="D99" s="7" t="s">
        <v>353</v>
      </c>
      <c r="E99" s="19">
        <v>30</v>
      </c>
      <c r="F99" s="19">
        <v>180</v>
      </c>
      <c r="G99" s="19">
        <f>IF(OR(E99="",F99=""),"",E99*F99)</f>
      </c>
      <c r="H99" s="4" t="s">
        <v>1000</v>
      </c>
    </row>
    <row r="100" ht="18" customHeight="1" spans="1:8" x14ac:dyDescent="0.25">
      <c r="A100" s="20" t="s">
        <v>1095</v>
      </c>
      <c r="B100" s="21" t="s">
        <v>998</v>
      </c>
      <c r="C100" s="21" t="s">
        <v>999</v>
      </c>
      <c r="D100" s="22" t="s">
        <v>353</v>
      </c>
      <c r="E100" s="19">
        <v>30</v>
      </c>
      <c r="F100" s="19">
        <v>95</v>
      </c>
      <c r="G100" s="19">
        <f>IF(OR(E100="",F100=""),"",E100*F100)</f>
      </c>
      <c r="H100" s="21" t="s">
        <v>1000</v>
      </c>
    </row>
    <row r="101" ht="18" customHeight="1" spans="1:8" x14ac:dyDescent="0.25">
      <c r="A101" s="18" t="s">
        <v>1096</v>
      </c>
      <c r="B101" s="4" t="s">
        <v>1025</v>
      </c>
      <c r="C101" s="4" t="s">
        <v>999</v>
      </c>
      <c r="D101" s="7" t="s">
        <v>353</v>
      </c>
      <c r="E101" s="19">
        <v>22</v>
      </c>
      <c r="F101" s="19"/>
      <c r="G101" s="19">
        <f>IF(OR(E101="",F101=""),"",E101*F101)</f>
      </c>
      <c r="H101" s="4" t="s">
        <v>1000</v>
      </c>
    </row>
    <row r="102" ht="18" customHeight="1" spans="1:8" x14ac:dyDescent="0.25">
      <c r="A102" s="20" t="s">
        <v>1097</v>
      </c>
      <c r="B102" s="21" t="s">
        <v>1004</v>
      </c>
      <c r="C102" s="21" t="s">
        <v>999</v>
      </c>
      <c r="D102" s="22" t="s">
        <v>353</v>
      </c>
      <c r="E102" s="19">
        <v>30</v>
      </c>
      <c r="F102" s="19">
        <v>85</v>
      </c>
      <c r="G102" s="19">
        <f>IF(OR(E102="",F102=""),"",E102*F102)</f>
      </c>
      <c r="H102" s="21" t="s">
        <v>1000</v>
      </c>
    </row>
    <row r="103" ht="18" customHeight="1" spans="1:8" x14ac:dyDescent="0.25">
      <c r="A103" s="18" t="s">
        <v>1098</v>
      </c>
      <c r="B103" s="4" t="s">
        <v>1016</v>
      </c>
      <c r="C103" s="4" t="s">
        <v>999</v>
      </c>
      <c r="D103" s="7" t="s">
        <v>353</v>
      </c>
      <c r="E103" s="19">
        <v>48</v>
      </c>
      <c r="F103" s="19">
        <v>45</v>
      </c>
      <c r="G103" s="19">
        <f>IF(OR(E103="",F103=""),"",E103*F103)</f>
      </c>
      <c r="H103" s="4" t="s">
        <v>1000</v>
      </c>
    </row>
    <row r="104" ht="18" customHeight="1" spans="1:8" x14ac:dyDescent="0.25">
      <c r="A104" s="20" t="s">
        <v>1099</v>
      </c>
      <c r="B104" s="21" t="s">
        <v>1029</v>
      </c>
      <c r="C104" s="21" t="s">
        <v>999</v>
      </c>
      <c r="D104" s="22" t="s">
        <v>353</v>
      </c>
      <c r="E104" s="19">
        <v>15</v>
      </c>
      <c r="F104" s="19"/>
      <c r="G104" s="19">
        <f>IF(OR(E104="",F104=""),"",E104*F104)</f>
      </c>
      <c r="H104" s="21" t="s">
        <v>1000</v>
      </c>
    </row>
    <row r="105" ht="19.5" customHeight="1" spans="1:8" x14ac:dyDescent="0.25">
      <c r="A105" s="23" t="s">
        <v>1100</v>
      </c>
      <c r="B105"/>
      <c r="C105"/>
      <c r="D105"/>
      <c r="E105"/>
      <c r="F105"/>
      <c r="G105" s="24">
        <f>SUM(G97:G105)</f>
      </c>
      <c r="H105" s="23" t="s">
        <v>296</v>
      </c>
    </row>
    <row r="106" spans="1:1" x14ac:dyDescent="0.25"/>
    <row r="107" ht="19.5" customHeight="1" spans="1:8" x14ac:dyDescent="0.25">
      <c r="A107" s="5" t="s">
        <v>1101</v>
      </c>
      <c r="B107"/>
      <c r="C107"/>
      <c r="D107"/>
      <c r="E107"/>
      <c r="F107"/>
      <c r="G107"/>
      <c r="H107"/>
    </row>
    <row r="108" ht="18" customHeight="1" spans="1:8" x14ac:dyDescent="0.25">
      <c r="A108" s="18" t="s">
        <v>1102</v>
      </c>
      <c r="B108" s="4" t="s">
        <v>1103</v>
      </c>
      <c r="C108" s="4" t="s">
        <v>999</v>
      </c>
      <c r="D108" s="7" t="s">
        <v>353</v>
      </c>
      <c r="E108" s="19">
        <v>6</v>
      </c>
      <c r="F108" s="19"/>
      <c r="G108" s="19">
        <f>IF(OR(E108="",F108=""),"",E108*F108)</f>
      </c>
      <c r="H108" s="4" t="s">
        <v>1000</v>
      </c>
    </row>
    <row r="109" ht="18" customHeight="1" spans="1:8" x14ac:dyDescent="0.25">
      <c r="A109" s="20" t="s">
        <v>1104</v>
      </c>
      <c r="B109" s="21" t="s">
        <v>998</v>
      </c>
      <c r="C109" s="21" t="s">
        <v>999</v>
      </c>
      <c r="D109" s="22" t="s">
        <v>353</v>
      </c>
      <c r="E109" s="19">
        <v>20</v>
      </c>
      <c r="F109" s="19">
        <v>95</v>
      </c>
      <c r="G109" s="19">
        <f>IF(OR(E109="",F109=""),"",E109*F109)</f>
      </c>
      <c r="H109" s="21" t="s">
        <v>1000</v>
      </c>
    </row>
    <row r="110" ht="19.5" customHeight="1" spans="1:8" x14ac:dyDescent="0.25">
      <c r="A110" s="23" t="s">
        <v>1105</v>
      </c>
      <c r="B110"/>
      <c r="C110"/>
      <c r="D110"/>
      <c r="E110"/>
      <c r="F110"/>
      <c r="G110" s="24">
        <f>SUM(G108:G110)</f>
      </c>
      <c r="H110" s="23" t="s">
        <v>296</v>
      </c>
    </row>
    <row r="111" spans="1:1" x14ac:dyDescent="0.25"/>
    <row r="112" ht="19.5" customHeight="1" spans="1:8" x14ac:dyDescent="0.25">
      <c r="A112" s="5" t="s">
        <v>1106</v>
      </c>
      <c r="B112"/>
      <c r="C112"/>
      <c r="D112"/>
      <c r="E112"/>
      <c r="F112"/>
      <c r="G112"/>
      <c r="H112"/>
    </row>
    <row r="113" ht="32" customHeight="1" spans="1:8" x14ac:dyDescent="0.25">
      <c r="A113" s="18" t="s">
        <v>1107</v>
      </c>
      <c r="B113" s="4" t="s">
        <v>1108</v>
      </c>
      <c r="C113" s="4" t="s">
        <v>999</v>
      </c>
      <c r="D113" s="7" t="s">
        <v>353</v>
      </c>
      <c r="E113" s="19">
        <v>520</v>
      </c>
      <c r="F113" s="19">
        <v>25</v>
      </c>
      <c r="G113" s="19">
        <f>IF(OR(E113="",F113=""),"",E113*F113)</f>
      </c>
      <c r="H113" s="4" t="s">
        <v>1000</v>
      </c>
    </row>
    <row r="114" ht="18" customHeight="1" spans="1:8" x14ac:dyDescent="0.25">
      <c r="A114" s="20" t="s">
        <v>1109</v>
      </c>
      <c r="B114" s="21" t="s">
        <v>1110</v>
      </c>
      <c r="C114" s="21" t="s">
        <v>999</v>
      </c>
      <c r="D114" s="22" t="s">
        <v>353</v>
      </c>
      <c r="E114" s="19">
        <v>45</v>
      </c>
      <c r="F114" s="19">
        <v>30</v>
      </c>
      <c r="G114" s="19">
        <f>IF(OR(E114="",F114=""),"",E114*F114)</f>
      </c>
      <c r="H114" s="21" t="s">
        <v>1000</v>
      </c>
    </row>
    <row r="115" ht="18" customHeight="1" spans="1:8" x14ac:dyDescent="0.25">
      <c r="A115" s="18" t="s">
        <v>1111</v>
      </c>
      <c r="B115" s="4" t="s">
        <v>1112</v>
      </c>
      <c r="C115" s="4" t="s">
        <v>999</v>
      </c>
      <c r="D115" s="7" t="s">
        <v>353</v>
      </c>
      <c r="E115" s="19">
        <v>60</v>
      </c>
      <c r="F115" s="19">
        <v>120</v>
      </c>
      <c r="G115" s="19">
        <f>IF(OR(E115="",F115=""),"",E115*F115)</f>
      </c>
      <c r="H115" s="4" t="s">
        <v>1000</v>
      </c>
    </row>
    <row r="116" ht="18" customHeight="1" spans="1:8" x14ac:dyDescent="0.25">
      <c r="A116" s="20" t="s">
        <v>1113</v>
      </c>
      <c r="B116" s="21" t="s">
        <v>1114</v>
      </c>
      <c r="C116" s="21" t="s">
        <v>999</v>
      </c>
      <c r="D116" s="22" t="s">
        <v>353</v>
      </c>
      <c r="E116" s="19">
        <v>30</v>
      </c>
      <c r="F116" s="19">
        <v>95</v>
      </c>
      <c r="G116" s="19">
        <f>IF(OR(E116="",F116=""),"",E116*F116)</f>
      </c>
      <c r="H116" s="21" t="s">
        <v>1000</v>
      </c>
    </row>
    <row r="117" ht="18" customHeight="1" spans="1:8" x14ac:dyDescent="0.25">
      <c r="A117" s="18" t="s">
        <v>1115</v>
      </c>
      <c r="B117" s="4" t="s">
        <v>1116</v>
      </c>
      <c r="C117" s="4" t="s">
        <v>999</v>
      </c>
      <c r="D117" s="7" t="s">
        <v>369</v>
      </c>
      <c r="E117" s="19">
        <v>25</v>
      </c>
      <c r="F117" s="19">
        <v>150</v>
      </c>
      <c r="G117" s="19">
        <f>IF(OR(E117="",F117=""),"",E117*F117)</f>
      </c>
      <c r="H117" s="4" t="s">
        <v>1000</v>
      </c>
    </row>
    <row r="118" ht="18" customHeight="1" spans="1:8" x14ac:dyDescent="0.25">
      <c r="A118" s="20" t="s">
        <v>1117</v>
      </c>
      <c r="B118" s="21" t="s">
        <v>1118</v>
      </c>
      <c r="C118" s="21" t="s">
        <v>999</v>
      </c>
      <c r="D118" s="22" t="s">
        <v>353</v>
      </c>
      <c r="E118" s="19">
        <v>75</v>
      </c>
      <c r="F118" s="19">
        <v>60</v>
      </c>
      <c r="G118" s="19">
        <f>IF(OR(E118="",F118=""),"",E118*F118)</f>
      </c>
      <c r="H118" s="21" t="s">
        <v>1000</v>
      </c>
    </row>
    <row r="119" ht="19.5" customHeight="1" spans="1:8" x14ac:dyDescent="0.25">
      <c r="A119" s="23" t="s">
        <v>1119</v>
      </c>
      <c r="B119"/>
      <c r="C119"/>
      <c r="D119"/>
      <c r="E119"/>
      <c r="F119"/>
      <c r="G119" s="24">
        <f>SUM(G113:G119)</f>
      </c>
      <c r="H119" s="23" t="s">
        <v>296</v>
      </c>
    </row>
    <row r="120" spans="1:1" x14ac:dyDescent="0.25"/>
    <row r="121" ht="19.5" customHeight="1" spans="1:8" x14ac:dyDescent="0.25">
      <c r="A121" s="5" t="s">
        <v>1120</v>
      </c>
      <c r="B121"/>
      <c r="C121"/>
      <c r="D121"/>
      <c r="E121"/>
      <c r="F121"/>
      <c r="G121"/>
      <c r="H121"/>
    </row>
    <row r="122" ht="18" customHeight="1" spans="1:8" x14ac:dyDescent="0.25">
      <c r="A122" s="18" t="s">
        <v>1121</v>
      </c>
      <c r="B122" s="4" t="s">
        <v>1122</v>
      </c>
      <c r="C122" s="4" t="s">
        <v>999</v>
      </c>
      <c r="D122" s="7" t="s">
        <v>353</v>
      </c>
      <c r="E122" s="19">
        <v>22</v>
      </c>
      <c r="F122" s="19">
        <v>125</v>
      </c>
      <c r="G122" s="19">
        <f>IF(OR(E122="",F122=""),"",E122*F122)</f>
      </c>
      <c r="H122" s="4" t="s">
        <v>1000</v>
      </c>
    </row>
    <row r="123" ht="18" customHeight="1" spans="1:8" x14ac:dyDescent="0.25">
      <c r="A123" s="20" t="s">
        <v>1123</v>
      </c>
      <c r="B123" s="21" t="s">
        <v>1124</v>
      </c>
      <c r="C123" s="21" t="s">
        <v>999</v>
      </c>
      <c r="D123" s="22" t="s">
        <v>353</v>
      </c>
      <c r="E123" s="19">
        <v>18</v>
      </c>
      <c r="F123" s="19">
        <v>75</v>
      </c>
      <c r="G123" s="19">
        <f>IF(OR(E123="",F123=""),"",E123*F123)</f>
      </c>
      <c r="H123" s="21" t="s">
        <v>1000</v>
      </c>
    </row>
    <row r="124" ht="18" customHeight="1" spans="1:8" x14ac:dyDescent="0.25">
      <c r="A124" s="18" t="s">
        <v>1125</v>
      </c>
      <c r="B124" s="4" t="s">
        <v>1126</v>
      </c>
      <c r="C124" s="4" t="s">
        <v>999</v>
      </c>
      <c r="D124" s="7" t="s">
        <v>353</v>
      </c>
      <c r="E124" s="19">
        <v>8</v>
      </c>
      <c r="F124" s="19">
        <v>3500</v>
      </c>
      <c r="G124" s="19">
        <f>IF(OR(E124="",F124=""),"",E124*F124)</f>
      </c>
      <c r="H124" s="4" t="s">
        <v>1127</v>
      </c>
    </row>
    <row r="125" ht="18" customHeight="1" spans="1:8" x14ac:dyDescent="0.25">
      <c r="A125" s="20" t="s">
        <v>1128</v>
      </c>
      <c r="B125" s="21" t="s">
        <v>1129</v>
      </c>
      <c r="C125" s="21" t="s">
        <v>999</v>
      </c>
      <c r="D125" s="22" t="s">
        <v>353</v>
      </c>
      <c r="E125" s="19">
        <v>2</v>
      </c>
      <c r="F125" s="19">
        <v>8500</v>
      </c>
      <c r="G125" s="19">
        <f>IF(OR(E125="",F125=""),"",E125*F125)</f>
      </c>
      <c r="H125" s="21" t="s">
        <v>1127</v>
      </c>
    </row>
    <row r="126" ht="19.5" customHeight="1" spans="1:8" x14ac:dyDescent="0.25">
      <c r="A126" s="23" t="s">
        <v>1130</v>
      </c>
      <c r="B126"/>
      <c r="C126"/>
      <c r="D126"/>
      <c r="E126"/>
      <c r="F126"/>
      <c r="G126" s="24">
        <f>SUM(G122:G126)</f>
      </c>
      <c r="H126" s="23" t="s">
        <v>296</v>
      </c>
    </row>
    <row r="127" spans="1:1" x14ac:dyDescent="0.25"/>
    <row r="128" spans="1:1" x14ac:dyDescent="0.25"/>
    <row r="129" ht="24" customHeight="1" spans="1:8" x14ac:dyDescent="0.25">
      <c r="A129" s="25" t="s">
        <v>1131</v>
      </c>
      <c r="B129"/>
      <c r="C129"/>
      <c r="D129"/>
      <c r="E129"/>
      <c r="F129"/>
      <c r="G129" s="26">
        <f>SUMIF(G4:G127,"&lt;&gt;")</f>
      </c>
      <c r="H129" s="25" t="s">
        <v>296</v>
      </c>
    </row>
  </sheetData>
  <mergeCells count="29">
    <mergeCell ref="A1:H1"/>
    <mergeCell ref="A2:H2"/>
    <mergeCell ref="A4:H4"/>
    <mergeCell ref="A8:F8"/>
    <mergeCell ref="A10:H10"/>
    <mergeCell ref="A17:F17"/>
    <mergeCell ref="A19:H19"/>
    <mergeCell ref="A28:F28"/>
    <mergeCell ref="A30:H30"/>
    <mergeCell ref="A39:F39"/>
    <mergeCell ref="A41:H41"/>
    <mergeCell ref="A50:F50"/>
    <mergeCell ref="A52:H52"/>
    <mergeCell ref="A61:F61"/>
    <mergeCell ref="A63:H63"/>
    <mergeCell ref="A72:F72"/>
    <mergeCell ref="A74:H74"/>
    <mergeCell ref="A83:F83"/>
    <mergeCell ref="A85:H85"/>
    <mergeCell ref="A94:F94"/>
    <mergeCell ref="A96:H96"/>
    <mergeCell ref="A105:F105"/>
    <mergeCell ref="A107:H107"/>
    <mergeCell ref="A110:F110"/>
    <mergeCell ref="A112:H112"/>
    <mergeCell ref="A119:F119"/>
    <mergeCell ref="A121:H121"/>
    <mergeCell ref="A126:F126"/>
    <mergeCell ref="A129:F129"/>
  </mergeCells>
  <printOptions horizontalCentered="1"/>
  <pageMargins left="0.4" right="0.4" top="0.5" bottom="0.5" header="0.3" footer="0.3"/>
  <pageSetup paperSize="9" orientation="portrait" fitToWidth="1" fitToHeight="0"/>
  <headerFooter>
    <oddHeader>&amp;L&amp;"Arial,Bold"&amp;12Proposed B+G+8+R Commercial &amp; Residential Building&amp;R&amp;"Arial,Italic"&amp;10Job FA_P379 / CRs B/010/25</oddHeader>
    <oddFooter>&amp;LBill 7 — WIRING DEVICES &amp; ACCESSORIES&amp;RPage &amp;P of &amp;N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30"/>
  <sheetViews>
    <sheetView workbookViewId="0">
      <pane ySplit="3" topLeftCell="A4" activePane="bottomLeft" state="frozen"/>
      <selection pane="bottomLeft" activeCell="A4" sqref="A4"/>
    </sheetView>
  </sheetViews>
  <sheetFormatPr defaultRowHeight="15" outlineLevelRow="0" outlineLevelCol="0" x14ac:dyDescent="55"/>
  <cols>
    <col min="1" max="1" width="7" customWidth="1"/>
    <col min="2" max="2" width="58" customWidth="1"/>
    <col min="3" max="3" width="22" customWidth="1"/>
    <col min="4" max="4" width="8" customWidth="1"/>
    <col min="6" max="6" width="13" customWidth="1"/>
    <col min="7" max="7" width="16" customWidth="1"/>
    <col min="8" max="8" width="32" customWidth="1"/>
  </cols>
  <sheetData>
    <row r="1" ht="27.75" customHeight="1" spans="1:8" x14ac:dyDescent="0.25">
      <c r="A1" s="1" t="s">
        <v>1132</v>
      </c>
      <c r="B1"/>
      <c r="C1"/>
      <c r="D1"/>
      <c r="E1"/>
      <c r="F1"/>
      <c r="G1"/>
      <c r="H1"/>
    </row>
    <row r="2" ht="13.5" customHeight="1" spans="1:8" x14ac:dyDescent="0.25">
      <c r="A2" s="17" t="s">
        <v>273</v>
      </c>
      <c r="B2"/>
      <c r="C2"/>
      <c r="D2"/>
      <c r="E2"/>
      <c r="F2"/>
      <c r="G2"/>
      <c r="H2"/>
    </row>
    <row r="3" ht="27.75" customHeight="1" spans="1:9" x14ac:dyDescent="0.25">
      <c r="A3" s="6" t="s">
        <v>274</v>
      </c>
      <c r="B3" s="6" t="s">
        <v>41</v>
      </c>
      <c r="C3" s="6" t="s">
        <v>275</v>
      </c>
      <c r="D3" s="6" t="s">
        <v>276</v>
      </c>
      <c r="E3" s="6" t="s">
        <v>277</v>
      </c>
      <c r="F3" s="6" t="s">
        <v>278</v>
      </c>
      <c r="G3" s="6" t="s">
        <v>279</v>
      </c>
      <c r="H3" s="6" t="s">
        <v>280</v>
      </c>
    </row>
    <row r="4" ht="19.5" customHeight="1" spans="1:8" x14ac:dyDescent="0.25">
      <c r="A4" s="5" t="s">
        <v>1133</v>
      </c>
      <c r="B4"/>
      <c r="C4"/>
      <c r="D4"/>
      <c r="E4"/>
      <c r="F4"/>
      <c r="G4"/>
      <c r="H4"/>
    </row>
    <row r="5" ht="19.5" customHeight="1" spans="1:8" x14ac:dyDescent="0.25">
      <c r="A5" s="5" t="s">
        <v>1134</v>
      </c>
      <c r="B5"/>
      <c r="C5"/>
      <c r="D5"/>
      <c r="E5"/>
      <c r="F5"/>
      <c r="G5"/>
      <c r="H5"/>
    </row>
    <row r="6" ht="32" customHeight="1" spans="1:8" x14ac:dyDescent="0.25">
      <c r="A6" s="18" t="s">
        <v>1135</v>
      </c>
      <c r="B6" s="4" t="s">
        <v>1136</v>
      </c>
      <c r="C6" s="4" t="s">
        <v>999</v>
      </c>
      <c r="D6" s="7" t="s">
        <v>353</v>
      </c>
      <c r="E6" s="19">
        <v>480</v>
      </c>
      <c r="F6" s="19">
        <v>85</v>
      </c>
      <c r="G6" s="19">
        <f>IF(OR(E6="",F6=""),"",E6*F6)</f>
      </c>
      <c r="H6" s="4" t="s">
        <v>1137</v>
      </c>
    </row>
    <row r="7" ht="32" customHeight="1" spans="1:8" x14ac:dyDescent="0.25">
      <c r="A7" s="20" t="s">
        <v>1138</v>
      </c>
      <c r="B7" s="21" t="s">
        <v>1139</v>
      </c>
      <c r="C7" s="21" t="s">
        <v>999</v>
      </c>
      <c r="D7" s="22" t="s">
        <v>353</v>
      </c>
      <c r="E7" s="19">
        <v>60</v>
      </c>
      <c r="F7" s="19">
        <v>640</v>
      </c>
      <c r="G7" s="19">
        <f>IF(OR(E7="",F7=""),"",E7*F7)</f>
      </c>
      <c r="H7" s="21" t="s">
        <v>1137</v>
      </c>
    </row>
    <row r="8" ht="32" customHeight="1" spans="1:8" x14ac:dyDescent="0.25">
      <c r="A8" s="18" t="s">
        <v>1140</v>
      </c>
      <c r="B8" s="4" t="s">
        <v>1141</v>
      </c>
      <c r="C8" s="4" t="s">
        <v>999</v>
      </c>
      <c r="D8" s="7" t="s">
        <v>353</v>
      </c>
      <c r="E8" s="19">
        <v>220</v>
      </c>
      <c r="F8" s="19">
        <v>640</v>
      </c>
      <c r="G8" s="19">
        <f>IF(OR(E8="",F8=""),"",E8*F8)</f>
      </c>
      <c r="H8" s="4" t="s">
        <v>1137</v>
      </c>
    </row>
    <row r="9" ht="32" customHeight="1" spans="1:8" x14ac:dyDescent="0.25">
      <c r="A9" s="20" t="s">
        <v>1142</v>
      </c>
      <c r="B9" s="21" t="s">
        <v>1143</v>
      </c>
      <c r="C9" s="21" t="s">
        <v>999</v>
      </c>
      <c r="D9" s="22" t="s">
        <v>353</v>
      </c>
      <c r="E9" s="19">
        <v>90</v>
      </c>
      <c r="F9" s="19">
        <v>95</v>
      </c>
      <c r="G9" s="19">
        <f>IF(OR(E9="",F9=""),"",E9*F9)</f>
      </c>
      <c r="H9" s="21" t="s">
        <v>1137</v>
      </c>
    </row>
    <row r="10" ht="18" customHeight="1" spans="1:8" x14ac:dyDescent="0.25">
      <c r="A10" s="18" t="s">
        <v>1144</v>
      </c>
      <c r="B10" s="4" t="s">
        <v>1145</v>
      </c>
      <c r="C10" s="4" t="s">
        <v>999</v>
      </c>
      <c r="D10" s="7" t="s">
        <v>353</v>
      </c>
      <c r="E10" s="19">
        <v>65</v>
      </c>
      <c r="F10" s="19">
        <v>150</v>
      </c>
      <c r="G10" s="19">
        <f>IF(OR(E10="",F10=""),"",E10*F10)</f>
      </c>
      <c r="H10" s="4" t="s">
        <v>1137</v>
      </c>
    </row>
    <row r="11" ht="18" customHeight="1" spans="1:8" x14ac:dyDescent="0.25">
      <c r="A11" s="20" t="s">
        <v>1146</v>
      </c>
      <c r="B11" s="21" t="s">
        <v>1147</v>
      </c>
      <c r="C11" s="21" t="s">
        <v>999</v>
      </c>
      <c r="D11" s="22" t="s">
        <v>353</v>
      </c>
      <c r="E11" s="19">
        <v>8</v>
      </c>
      <c r="F11" s="19">
        <v>450</v>
      </c>
      <c r="G11" s="19">
        <f>IF(OR(E11="",F11=""),"",E11*F11)</f>
      </c>
      <c r="H11" s="21" t="s">
        <v>1137</v>
      </c>
    </row>
    <row r="12" ht="18" customHeight="1" spans="1:8" x14ac:dyDescent="0.25">
      <c r="A12" s="18" t="s">
        <v>1148</v>
      </c>
      <c r="B12" s="4" t="s">
        <v>1149</v>
      </c>
      <c r="C12" s="4" t="s">
        <v>999</v>
      </c>
      <c r="D12" s="7" t="s">
        <v>353</v>
      </c>
      <c r="E12" s="19">
        <v>40</v>
      </c>
      <c r="F12" s="19">
        <v>140</v>
      </c>
      <c r="G12" s="19">
        <f>IF(OR(E12="",F12=""),"",E12*F12)</f>
      </c>
      <c r="H12" s="4" t="s">
        <v>1137</v>
      </c>
    </row>
    <row r="13" ht="19.5" customHeight="1" spans="1:8" x14ac:dyDescent="0.25">
      <c r="A13" s="23" t="s">
        <v>1150</v>
      </c>
      <c r="B13"/>
      <c r="C13"/>
      <c r="D13"/>
      <c r="E13"/>
      <c r="F13"/>
      <c r="G13" s="24">
        <f>SUM(G6:G13)</f>
      </c>
      <c r="H13" s="23" t="s">
        <v>296</v>
      </c>
    </row>
    <row r="14" spans="1:1" x14ac:dyDescent="0.25"/>
    <row r="15" ht="19.5" customHeight="1" spans="1:8" x14ac:dyDescent="0.25">
      <c r="A15" s="5" t="s">
        <v>1151</v>
      </c>
      <c r="B15"/>
      <c r="C15"/>
      <c r="D15"/>
      <c r="E15"/>
      <c r="F15"/>
      <c r="G15"/>
      <c r="H15"/>
    </row>
    <row r="16" ht="32" customHeight="1" spans="1:8" x14ac:dyDescent="0.25">
      <c r="A16" s="18" t="s">
        <v>1152</v>
      </c>
      <c r="B16" s="4" t="s">
        <v>1153</v>
      </c>
      <c r="C16" s="4" t="s">
        <v>1154</v>
      </c>
      <c r="D16" s="7" t="s">
        <v>353</v>
      </c>
      <c r="E16" s="19">
        <v>36</v>
      </c>
      <c r="F16" s="19">
        <v>280</v>
      </c>
      <c r="G16" s="19">
        <f>IF(OR(E16="",F16=""),"",E16*F16)</f>
      </c>
      <c r="H16" s="4" t="s">
        <v>1155</v>
      </c>
    </row>
    <row r="17" ht="18" customHeight="1" spans="1:8" x14ac:dyDescent="0.25">
      <c r="A17" s="20" t="s">
        <v>1156</v>
      </c>
      <c r="B17" s="21" t="s">
        <v>1157</v>
      </c>
      <c r="C17" s="21" t="s">
        <v>1154</v>
      </c>
      <c r="D17" s="22" t="s">
        <v>353</v>
      </c>
      <c r="E17" s="19">
        <v>14</v>
      </c>
      <c r="F17" s="19">
        <v>1800</v>
      </c>
      <c r="G17" s="19">
        <f>IF(OR(E17="",F17=""),"",E17*F17)</f>
      </c>
      <c r="H17" s="21" t="s">
        <v>1155</v>
      </c>
    </row>
    <row r="18" ht="18" customHeight="1" spans="1:8" x14ac:dyDescent="0.25">
      <c r="A18" s="18" t="s">
        <v>1158</v>
      </c>
      <c r="B18" s="4" t="s">
        <v>1159</v>
      </c>
      <c r="C18" s="4" t="s">
        <v>1154</v>
      </c>
      <c r="D18" s="7" t="s">
        <v>353</v>
      </c>
      <c r="E18" s="19">
        <v>28</v>
      </c>
      <c r="F18" s="19">
        <v>95</v>
      </c>
      <c r="G18" s="19">
        <f>IF(OR(E18="",F18=""),"",E18*F18)</f>
      </c>
      <c r="H18" s="4" t="s">
        <v>1155</v>
      </c>
    </row>
    <row r="19" ht="18" customHeight="1" spans="1:8" x14ac:dyDescent="0.25">
      <c r="A19" s="20" t="s">
        <v>1160</v>
      </c>
      <c r="B19" s="21" t="s">
        <v>1161</v>
      </c>
      <c r="C19" s="21" t="s">
        <v>1154</v>
      </c>
      <c r="D19" s="22" t="s">
        <v>353</v>
      </c>
      <c r="E19" s="19">
        <v>16</v>
      </c>
      <c r="F19" s="19">
        <v>640</v>
      </c>
      <c r="G19" s="19">
        <f>IF(OR(E19="",F19=""),"",E19*F19)</f>
      </c>
      <c r="H19" s="21" t="s">
        <v>1155</v>
      </c>
    </row>
    <row r="20" ht="18" customHeight="1" spans="1:8" x14ac:dyDescent="0.25">
      <c r="A20" s="18" t="s">
        <v>1162</v>
      </c>
      <c r="B20" s="4" t="s">
        <v>1163</v>
      </c>
      <c r="C20" s="4" t="s">
        <v>1154</v>
      </c>
      <c r="D20" s="7" t="s">
        <v>285</v>
      </c>
      <c r="E20" s="19">
        <v>1</v>
      </c>
      <c r="F20" s="19">
        <v>85000</v>
      </c>
      <c r="G20" s="19">
        <f>IF(OR(E20="",F20=""),"",E20*F20)</f>
      </c>
      <c r="H20" s="4" t="s">
        <v>1155</v>
      </c>
    </row>
    <row r="21" ht="19.5" customHeight="1" spans="1:8" x14ac:dyDescent="0.25">
      <c r="A21" s="23" t="s">
        <v>1164</v>
      </c>
      <c r="B21"/>
      <c r="C21"/>
      <c r="D21"/>
      <c r="E21"/>
      <c r="F21"/>
      <c r="G21" s="24">
        <f>SUM(G16:G21)</f>
      </c>
      <c r="H21" s="23" t="s">
        <v>296</v>
      </c>
    </row>
    <row r="22" spans="1:1" x14ac:dyDescent="0.25"/>
    <row r="23" ht="19.5" customHeight="1" spans="1:8" x14ac:dyDescent="0.25">
      <c r="A23" s="5" t="s">
        <v>1165</v>
      </c>
      <c r="B23"/>
      <c r="C23"/>
      <c r="D23"/>
      <c r="E23"/>
      <c r="F23"/>
      <c r="G23"/>
      <c r="H23"/>
    </row>
    <row r="24" ht="18" customHeight="1" spans="1:8" x14ac:dyDescent="0.25">
      <c r="A24" s="18" t="s">
        <v>1166</v>
      </c>
      <c r="B24" s="4" t="s">
        <v>1167</v>
      </c>
      <c r="C24" s="4" t="s">
        <v>1168</v>
      </c>
      <c r="D24" s="7" t="s">
        <v>369</v>
      </c>
      <c r="E24" s="19">
        <v>1</v>
      </c>
      <c r="F24" s="19">
        <v>85000</v>
      </c>
      <c r="G24" s="19">
        <f>IF(OR(E24="",F24=""),"",E24*F24)</f>
      </c>
      <c r="H24" s="4" t="s">
        <v>1155</v>
      </c>
    </row>
    <row r="25" ht="18" customHeight="1" spans="1:8" x14ac:dyDescent="0.25">
      <c r="A25" s="20" t="s">
        <v>1169</v>
      </c>
      <c r="B25" s="21" t="s">
        <v>1170</v>
      </c>
      <c r="C25" s="21" t="s">
        <v>1168</v>
      </c>
      <c r="D25" s="22" t="s">
        <v>353</v>
      </c>
      <c r="E25" s="19">
        <v>4</v>
      </c>
      <c r="F25" s="19">
        <v>250</v>
      </c>
      <c r="G25" s="19">
        <f>IF(OR(E25="",F25=""),"",E25*F25)</f>
      </c>
      <c r="H25" s="21" t="s">
        <v>1000</v>
      </c>
    </row>
    <row r="26" ht="18" customHeight="1" spans="1:8" x14ac:dyDescent="0.25">
      <c r="A26" s="18" t="s">
        <v>1171</v>
      </c>
      <c r="B26" s="4" t="s">
        <v>1172</v>
      </c>
      <c r="C26" s="4" t="s">
        <v>1168</v>
      </c>
      <c r="D26" s="7" t="s">
        <v>285</v>
      </c>
      <c r="E26" s="19">
        <v>1</v>
      </c>
      <c r="F26" s="19">
        <v>120</v>
      </c>
      <c r="G26" s="19">
        <f>IF(OR(E26="",F26=""),"",E26*F26)</f>
      </c>
      <c r="H26" s="4" t="s">
        <v>1137</v>
      </c>
    </row>
    <row r="27" ht="19.5" customHeight="1" spans="1:8" x14ac:dyDescent="0.25">
      <c r="A27" s="23" t="s">
        <v>1173</v>
      </c>
      <c r="B27"/>
      <c r="C27"/>
      <c r="D27"/>
      <c r="E27"/>
      <c r="F27"/>
      <c r="G27" s="24">
        <f>SUM(G24:G27)</f>
      </c>
      <c r="H27" s="23" t="s">
        <v>296</v>
      </c>
    </row>
    <row r="28" spans="1:1" x14ac:dyDescent="0.25"/>
    <row r="29" spans="1:1" x14ac:dyDescent="0.25"/>
    <row r="30" ht="24" customHeight="1" spans="1:8" x14ac:dyDescent="0.25">
      <c r="A30" s="25" t="s">
        <v>1174</v>
      </c>
      <c r="B30"/>
      <c r="C30"/>
      <c r="D30"/>
      <c r="E30"/>
      <c r="F30"/>
      <c r="G30" s="26">
        <f>SUMIF(G4:G28,"&lt;&gt;")</f>
      </c>
      <c r="H30" s="25" t="s">
        <v>296</v>
      </c>
    </row>
  </sheetData>
  <mergeCells count="10">
    <mergeCell ref="A1:H1"/>
    <mergeCell ref="A2:H2"/>
    <mergeCell ref="A4:H4"/>
    <mergeCell ref="A5:H5"/>
    <mergeCell ref="A13:F13"/>
    <mergeCell ref="A15:H15"/>
    <mergeCell ref="A21:F21"/>
    <mergeCell ref="A23:H23"/>
    <mergeCell ref="A27:F27"/>
    <mergeCell ref="A30:F30"/>
  </mergeCells>
  <printOptions horizontalCentered="1"/>
  <pageMargins left="0.4" right="0.4" top="0.5" bottom="0.5" header="0.3" footer="0.3"/>
  <pageSetup paperSize="9" orientation="portrait" fitToWidth="1" fitToHeight="0"/>
  <headerFooter>
    <oddHeader>&amp;L&amp;"Arial,Bold"&amp;12Proposed B+G+8+R Commercial &amp; Residential Building&amp;R&amp;"Arial,Italic"&amp;10Job FA_P379 / CRs B/010/25</oddHeader>
    <oddFooter>&amp;LBill 8 — LIGHTING FIXTURES (Internal + External)&amp;RPage &amp;P of &amp;N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26"/>
  <sheetViews>
    <sheetView workbookViewId="0">
      <pane ySplit="3" topLeftCell="A4" activePane="bottomLeft" state="frozen"/>
      <selection pane="bottomLeft" activeCell="A4" sqref="A4"/>
    </sheetView>
  </sheetViews>
  <sheetFormatPr defaultRowHeight="15" outlineLevelRow="0" outlineLevelCol="0" x14ac:dyDescent="55"/>
  <cols>
    <col min="1" max="1" width="7" customWidth="1"/>
    <col min="2" max="2" width="58" customWidth="1"/>
    <col min="3" max="3" width="22" customWidth="1"/>
    <col min="4" max="4" width="8" customWidth="1"/>
    <col min="6" max="6" width="13" customWidth="1"/>
    <col min="7" max="7" width="16" customWidth="1"/>
    <col min="8" max="8" width="32" customWidth="1"/>
  </cols>
  <sheetData>
    <row r="1" ht="27.75" customHeight="1" spans="1:8" x14ac:dyDescent="0.25">
      <c r="A1" s="1" t="s">
        <v>1175</v>
      </c>
      <c r="B1"/>
      <c r="C1"/>
      <c r="D1"/>
      <c r="E1"/>
      <c r="F1"/>
      <c r="G1"/>
      <c r="H1"/>
    </row>
    <row r="2" ht="13.5" customHeight="1" spans="1:8" x14ac:dyDescent="0.25">
      <c r="A2" s="17" t="s">
        <v>273</v>
      </c>
      <c r="B2"/>
      <c r="C2"/>
      <c r="D2"/>
      <c r="E2"/>
      <c r="F2"/>
      <c r="G2"/>
      <c r="H2"/>
    </row>
    <row r="3" ht="27.75" customHeight="1" spans="1:9" x14ac:dyDescent="0.25">
      <c r="A3" s="6" t="s">
        <v>274</v>
      </c>
      <c r="B3" s="6" t="s">
        <v>41</v>
      </c>
      <c r="C3" s="6" t="s">
        <v>275</v>
      </c>
      <c r="D3" s="6" t="s">
        <v>276</v>
      </c>
      <c r="E3" s="6" t="s">
        <v>277</v>
      </c>
      <c r="F3" s="6" t="s">
        <v>278</v>
      </c>
      <c r="G3" s="6" t="s">
        <v>279</v>
      </c>
      <c r="H3" s="6" t="s">
        <v>280</v>
      </c>
    </row>
    <row r="4" ht="19.5" customHeight="1" spans="1:8" x14ac:dyDescent="0.25">
      <c r="A4" s="5" t="s">
        <v>1176</v>
      </c>
      <c r="B4"/>
      <c r="C4"/>
      <c r="D4"/>
      <c r="E4"/>
      <c r="F4"/>
      <c r="G4"/>
      <c r="H4"/>
    </row>
    <row r="5" ht="46" customHeight="1" spans="1:8" x14ac:dyDescent="0.25">
      <c r="A5" s="18" t="s">
        <v>1177</v>
      </c>
      <c r="B5" s="4" t="s">
        <v>1178</v>
      </c>
      <c r="C5" s="4" t="s">
        <v>1179</v>
      </c>
      <c r="D5" s="7" t="s">
        <v>353</v>
      </c>
      <c r="E5" s="19">
        <v>4</v>
      </c>
      <c r="F5" s="19">
        <v>510</v>
      </c>
      <c r="G5" s="19">
        <f>IF(OR(E5="",F5=""),"",E5*F5)</f>
      </c>
      <c r="H5" s="4" t="s">
        <v>1180</v>
      </c>
    </row>
    <row r="6" ht="18" customHeight="1" spans="1:8" x14ac:dyDescent="0.25">
      <c r="A6" s="20" t="s">
        <v>1181</v>
      </c>
      <c r="B6" s="21" t="s">
        <v>1182</v>
      </c>
      <c r="C6" s="21" t="s">
        <v>1179</v>
      </c>
      <c r="D6" s="22" t="s">
        <v>353</v>
      </c>
      <c r="E6" s="19">
        <v>4</v>
      </c>
      <c r="F6" s="19">
        <v>48</v>
      </c>
      <c r="G6" s="19">
        <f>IF(OR(E6="",F6=""),"",E6*F6)</f>
      </c>
      <c r="H6" s="21" t="s">
        <v>1180</v>
      </c>
    </row>
    <row r="7" ht="32" customHeight="1" spans="1:8" x14ac:dyDescent="0.25">
      <c r="A7" s="18" t="s">
        <v>1183</v>
      </c>
      <c r="B7" s="4" t="s">
        <v>1184</v>
      </c>
      <c r="C7" s="4" t="s">
        <v>1179</v>
      </c>
      <c r="D7" s="7" t="s">
        <v>357</v>
      </c>
      <c r="E7" s="19">
        <v>120</v>
      </c>
      <c r="F7" s="19">
        <v>30</v>
      </c>
      <c r="G7" s="19">
        <f>IF(OR(E7="",F7=""),"",E7*F7)</f>
      </c>
      <c r="H7" s="4" t="s">
        <v>1180</v>
      </c>
    </row>
    <row r="8" ht="18" customHeight="1" spans="1:8" x14ac:dyDescent="0.25">
      <c r="A8" s="20" t="s">
        <v>1185</v>
      </c>
      <c r="B8" s="21" t="s">
        <v>1186</v>
      </c>
      <c r="C8" s="21" t="s">
        <v>1179</v>
      </c>
      <c r="D8" s="22" t="s">
        <v>357</v>
      </c>
      <c r="E8" s="19">
        <v>350</v>
      </c>
      <c r="F8" s="19">
        <v>13</v>
      </c>
      <c r="G8" s="19">
        <f>IF(OR(E8="",F8=""),"",E8*F8)</f>
      </c>
      <c r="H8" s="21" t="s">
        <v>1180</v>
      </c>
    </row>
    <row r="9" ht="32" customHeight="1" spans="1:8" x14ac:dyDescent="0.25">
      <c r="A9" s="18" t="s">
        <v>1187</v>
      </c>
      <c r="B9" s="4" t="s">
        <v>1188</v>
      </c>
      <c r="C9" s="4" t="s">
        <v>1179</v>
      </c>
      <c r="D9" s="7" t="s">
        <v>357</v>
      </c>
      <c r="E9" s="19">
        <v>800</v>
      </c>
      <c r="F9" s="19">
        <v>9</v>
      </c>
      <c r="G9" s="19">
        <f>IF(OR(E9="",F9=""),"",E9*F9)</f>
      </c>
      <c r="H9" s="4" t="s">
        <v>984</v>
      </c>
    </row>
    <row r="10" ht="32" customHeight="1" spans="1:8" x14ac:dyDescent="0.25">
      <c r="A10" s="20" t="s">
        <v>1189</v>
      </c>
      <c r="B10" s="21" t="s">
        <v>1190</v>
      </c>
      <c r="C10" s="21" t="s">
        <v>1179</v>
      </c>
      <c r="D10" s="22" t="s">
        <v>353</v>
      </c>
      <c r="E10" s="19">
        <v>2</v>
      </c>
      <c r="F10" s="19">
        <v>14</v>
      </c>
      <c r="G10" s="19">
        <f>IF(OR(E10="",F10=""),"",E10*F10)</f>
      </c>
      <c r="H10" s="21" t="s">
        <v>1180</v>
      </c>
    </row>
    <row r="11" ht="18" customHeight="1" spans="1:8" x14ac:dyDescent="0.25">
      <c r="A11" s="18" t="s">
        <v>1191</v>
      </c>
      <c r="B11" s="4" t="s">
        <v>1192</v>
      </c>
      <c r="C11" s="4" t="s">
        <v>1179</v>
      </c>
      <c r="D11" s="7" t="s">
        <v>353</v>
      </c>
      <c r="E11" s="19">
        <v>2</v>
      </c>
      <c r="F11" s="19">
        <v>4500</v>
      </c>
      <c r="G11" s="19">
        <f>IF(OR(E11="",F11=""),"",E11*F11)</f>
      </c>
      <c r="H11" s="4" t="s">
        <v>1193</v>
      </c>
    </row>
    <row r="12" ht="32" customHeight="1" spans="1:8" x14ac:dyDescent="0.25">
      <c r="A12" s="20" t="s">
        <v>1194</v>
      </c>
      <c r="B12" s="21" t="s">
        <v>1195</v>
      </c>
      <c r="C12" s="21" t="s">
        <v>1179</v>
      </c>
      <c r="D12" s="22" t="s">
        <v>285</v>
      </c>
      <c r="E12" s="19">
        <v>1</v>
      </c>
      <c r="F12" s="19">
        <v>65</v>
      </c>
      <c r="G12" s="19">
        <f>IF(OR(E12="",F12=""),"",E12*F12)</f>
      </c>
      <c r="H12" s="21" t="s">
        <v>984</v>
      </c>
    </row>
    <row r="13" ht="19.5" customHeight="1" spans="1:8" x14ac:dyDescent="0.25">
      <c r="A13" s="23" t="s">
        <v>1196</v>
      </c>
      <c r="B13"/>
      <c r="C13"/>
      <c r="D13"/>
      <c r="E13"/>
      <c r="F13"/>
      <c r="G13" s="24">
        <f>SUM(G5:G13)</f>
      </c>
      <c r="H13" s="23" t="s">
        <v>296</v>
      </c>
    </row>
    <row r="14" spans="1:1" x14ac:dyDescent="0.25"/>
    <row r="15" ht="19.5" customHeight="1" spans="1:8" x14ac:dyDescent="0.25">
      <c r="A15" s="5" t="s">
        <v>1197</v>
      </c>
      <c r="B15"/>
      <c r="C15"/>
      <c r="D15"/>
      <c r="E15"/>
      <c r="F15"/>
      <c r="G15"/>
      <c r="H15"/>
    </row>
    <row r="16" ht="32" customHeight="1" spans="1:8" x14ac:dyDescent="0.25">
      <c r="A16" s="18" t="s">
        <v>1198</v>
      </c>
      <c r="B16" s="4" t="s">
        <v>1199</v>
      </c>
      <c r="C16" s="4" t="s">
        <v>1200</v>
      </c>
      <c r="D16" s="7" t="s">
        <v>353</v>
      </c>
      <c r="E16" s="19">
        <v>6</v>
      </c>
      <c r="F16" s="19">
        <v>1800</v>
      </c>
      <c r="G16" s="19">
        <f>IF(OR(E16="",F16=""),"",E16*F16)</f>
      </c>
      <c r="H16" s="4" t="s">
        <v>1193</v>
      </c>
    </row>
    <row r="17" ht="32" customHeight="1" spans="1:8" x14ac:dyDescent="0.25">
      <c r="A17" s="20" t="s">
        <v>1201</v>
      </c>
      <c r="B17" s="21" t="s">
        <v>1202</v>
      </c>
      <c r="C17" s="21" t="s">
        <v>1200</v>
      </c>
      <c r="D17" s="22" t="s">
        <v>357</v>
      </c>
      <c r="E17" s="19">
        <v>240</v>
      </c>
      <c r="F17" s="19">
        <v>85</v>
      </c>
      <c r="G17" s="19">
        <f>IF(OR(E17="",F17=""),"",E17*F17)</f>
      </c>
      <c r="H17" s="21" t="s">
        <v>1193</v>
      </c>
    </row>
    <row r="18" ht="32" customHeight="1" spans="1:8" x14ac:dyDescent="0.25">
      <c r="A18" s="18" t="s">
        <v>1203</v>
      </c>
      <c r="B18" s="4" t="s">
        <v>1204</v>
      </c>
      <c r="C18" s="4" t="s">
        <v>1200</v>
      </c>
      <c r="D18" s="7" t="s">
        <v>353</v>
      </c>
      <c r="E18" s="19">
        <v>4</v>
      </c>
      <c r="F18" s="19">
        <v>1200</v>
      </c>
      <c r="G18" s="19">
        <f>IF(OR(E18="",F18=""),"",E18*F18)</f>
      </c>
      <c r="H18" s="4" t="s">
        <v>1193</v>
      </c>
    </row>
    <row r="19" ht="18" customHeight="1" spans="1:8" x14ac:dyDescent="0.25">
      <c r="A19" s="20" t="s">
        <v>1205</v>
      </c>
      <c r="B19" s="21" t="s">
        <v>1206</v>
      </c>
      <c r="C19" s="21" t="s">
        <v>1200</v>
      </c>
      <c r="D19" s="22" t="s">
        <v>353</v>
      </c>
      <c r="E19" s="19">
        <v>4</v>
      </c>
      <c r="F19" s="19">
        <v>3500</v>
      </c>
      <c r="G19" s="19">
        <f>IF(OR(E19="",F19=""),"",E19*F19)</f>
      </c>
      <c r="H19" s="21" t="s">
        <v>1193</v>
      </c>
    </row>
    <row r="20" ht="18" customHeight="1" spans="1:8" x14ac:dyDescent="0.25">
      <c r="A20" s="18" t="s">
        <v>1207</v>
      </c>
      <c r="B20" s="4" t="s">
        <v>1208</v>
      </c>
      <c r="C20" s="4" t="s">
        <v>1200</v>
      </c>
      <c r="D20" s="7" t="s">
        <v>353</v>
      </c>
      <c r="E20" s="19">
        <v>2</v>
      </c>
      <c r="F20" s="19">
        <v>4500</v>
      </c>
      <c r="G20" s="19">
        <f>IF(OR(E20="",F20=""),"",E20*F20)</f>
      </c>
      <c r="H20" s="4" t="s">
        <v>1193</v>
      </c>
    </row>
    <row r="21" ht="32" customHeight="1" spans="1:8" x14ac:dyDescent="0.25">
      <c r="A21" s="20" t="s">
        <v>1209</v>
      </c>
      <c r="B21" s="21" t="s">
        <v>1210</v>
      </c>
      <c r="C21" s="21" t="s">
        <v>1200</v>
      </c>
      <c r="D21" s="22" t="s">
        <v>285</v>
      </c>
      <c r="E21" s="19">
        <v>1</v>
      </c>
      <c r="F21" s="19">
        <v>8000</v>
      </c>
      <c r="G21" s="19">
        <f>IF(OR(E21="",F21=""),"",E21*F21)</f>
      </c>
      <c r="H21" s="21" t="s">
        <v>1193</v>
      </c>
    </row>
    <row r="22" ht="18" customHeight="1" spans="1:8" x14ac:dyDescent="0.25">
      <c r="A22" s="18" t="s">
        <v>1211</v>
      </c>
      <c r="B22" s="4" t="s">
        <v>1212</v>
      </c>
      <c r="C22" s="4" t="s">
        <v>1200</v>
      </c>
      <c r="D22" s="7" t="s">
        <v>285</v>
      </c>
      <c r="E22" s="19">
        <v>1</v>
      </c>
      <c r="F22" s="19">
        <v>6500</v>
      </c>
      <c r="G22" s="19">
        <f>IF(OR(E22="",F22=""),"",E22*F22)</f>
      </c>
      <c r="H22" s="4" t="s">
        <v>1193</v>
      </c>
    </row>
    <row r="23" ht="19.5" customHeight="1" spans="1:8" x14ac:dyDescent="0.25">
      <c r="A23" s="23" t="s">
        <v>1213</v>
      </c>
      <c r="B23"/>
      <c r="C23"/>
      <c r="D23"/>
      <c r="E23"/>
      <c r="F23"/>
      <c r="G23" s="24">
        <f>SUM(G16:G23)</f>
      </c>
      <c r="H23" s="23" t="s">
        <v>296</v>
      </c>
    </row>
    <row r="24" spans="1:1" x14ac:dyDescent="0.25"/>
    <row r="25" spans="1:1" x14ac:dyDescent="0.25"/>
    <row r="26" ht="24" customHeight="1" spans="1:8" x14ac:dyDescent="0.25">
      <c r="A26" s="25" t="s">
        <v>1214</v>
      </c>
      <c r="B26"/>
      <c r="C26"/>
      <c r="D26"/>
      <c r="E26"/>
      <c r="F26"/>
      <c r="G26" s="26">
        <f>SUMIF(G4:G24,"&lt;&gt;")</f>
      </c>
      <c r="H26" s="25" t="s">
        <v>296</v>
      </c>
    </row>
  </sheetData>
  <mergeCells count="7">
    <mergeCell ref="A1:H1"/>
    <mergeCell ref="A2:H2"/>
    <mergeCell ref="A4:H4"/>
    <mergeCell ref="A13:F13"/>
    <mergeCell ref="A15:H15"/>
    <mergeCell ref="A23:F23"/>
    <mergeCell ref="A26:F26"/>
  </mergeCells>
  <printOptions horizontalCentered="1"/>
  <pageMargins left="0.4" right="0.4" top="0.5" bottom="0.5" header="0.3" footer="0.3"/>
  <pageSetup paperSize="9" orientation="portrait" fitToWidth="1" fitToHeight="0"/>
  <headerFooter>
    <oddHeader>&amp;L&amp;"Arial,Bold"&amp;12Proposed B+G+8+R Commercial &amp; Residential Building&amp;R&amp;"Arial,Italic"&amp;10Job FA_P379 / CRs B/010/25</oddHeader>
    <oddFooter>&amp;LBill 9 — EARTHING &amp; LIGHTNING PROTECTION&amp;RPage &amp;P of &amp;N</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36"/>
  <sheetViews>
    <sheetView workbookViewId="0">
      <pane ySplit="3" topLeftCell="A4" activePane="bottomLeft" state="frozen"/>
      <selection pane="bottomLeft" activeCell="A4" sqref="A4"/>
    </sheetView>
  </sheetViews>
  <sheetFormatPr defaultRowHeight="15" outlineLevelRow="0" outlineLevelCol="0" x14ac:dyDescent="55"/>
  <cols>
    <col min="1" max="1" width="7" customWidth="1"/>
    <col min="2" max="2" width="58" customWidth="1"/>
    <col min="3" max="3" width="22" customWidth="1"/>
    <col min="4" max="4" width="8" customWidth="1"/>
    <col min="6" max="6" width="13" customWidth="1"/>
    <col min="7" max="7" width="16" customWidth="1"/>
    <col min="8" max="8" width="32" customWidth="1"/>
  </cols>
  <sheetData>
    <row r="1" ht="27.75" customHeight="1" spans="1:8" x14ac:dyDescent="0.25">
      <c r="A1" s="1" t="s">
        <v>1215</v>
      </c>
      <c r="B1"/>
      <c r="C1"/>
      <c r="D1"/>
      <c r="E1"/>
      <c r="F1"/>
      <c r="G1"/>
      <c r="H1"/>
    </row>
    <row r="2" ht="13.5" customHeight="1" spans="1:8" x14ac:dyDescent="0.25">
      <c r="A2" s="17" t="s">
        <v>273</v>
      </c>
      <c r="B2"/>
      <c r="C2"/>
      <c r="D2"/>
      <c r="E2"/>
      <c r="F2"/>
      <c r="G2"/>
      <c r="H2"/>
    </row>
    <row r="3" ht="27.75" customHeight="1" spans="1:9" x14ac:dyDescent="0.25">
      <c r="A3" s="6" t="s">
        <v>274</v>
      </c>
      <c r="B3" s="6" t="s">
        <v>41</v>
      </c>
      <c r="C3" s="6" t="s">
        <v>275</v>
      </c>
      <c r="D3" s="6" t="s">
        <v>276</v>
      </c>
      <c r="E3" s="6" t="s">
        <v>277</v>
      </c>
      <c r="F3" s="6" t="s">
        <v>278</v>
      </c>
      <c r="G3" s="6" t="s">
        <v>279</v>
      </c>
      <c r="H3" s="6" t="s">
        <v>280</v>
      </c>
    </row>
    <row r="4" ht="19.5" customHeight="1" spans="1:8" x14ac:dyDescent="0.25">
      <c r="A4" s="5" t="s">
        <v>1216</v>
      </c>
      <c r="B4"/>
      <c r="C4"/>
      <c r="D4"/>
      <c r="E4"/>
      <c r="F4"/>
      <c r="G4"/>
      <c r="H4"/>
    </row>
    <row r="5" ht="32" customHeight="1" spans="1:8" x14ac:dyDescent="0.25">
      <c r="A5" s="18" t="s">
        <v>1217</v>
      </c>
      <c r="B5" s="4" t="s">
        <v>1218</v>
      </c>
      <c r="C5" s="4" t="s">
        <v>1219</v>
      </c>
      <c r="D5" s="7" t="s">
        <v>353</v>
      </c>
      <c r="E5" s="19">
        <v>96</v>
      </c>
      <c r="F5" s="19">
        <v>85</v>
      </c>
      <c r="G5" s="19">
        <f>IF(OR(E5="",F5=""),"",E5*F5)</f>
      </c>
      <c r="H5" s="4" t="s">
        <v>1137</v>
      </c>
    </row>
    <row r="6" ht="32" customHeight="1" spans="1:8" x14ac:dyDescent="0.25">
      <c r="A6" s="20" t="s">
        <v>1220</v>
      </c>
      <c r="B6" s="21" t="s">
        <v>1221</v>
      </c>
      <c r="C6" s="21" t="s">
        <v>1219</v>
      </c>
      <c r="D6" s="22" t="s">
        <v>353</v>
      </c>
      <c r="E6" s="19">
        <v>48</v>
      </c>
      <c r="F6" s="19">
        <v>380</v>
      </c>
      <c r="G6" s="19">
        <f>IF(OR(E6="",F6=""),"",E6*F6)</f>
      </c>
      <c r="H6" s="21" t="s">
        <v>1222</v>
      </c>
    </row>
    <row r="7" ht="32" customHeight="1" spans="1:8" x14ac:dyDescent="0.25">
      <c r="A7" s="18" t="s">
        <v>1223</v>
      </c>
      <c r="B7" s="4" t="s">
        <v>1224</v>
      </c>
      <c r="C7" s="4" t="s">
        <v>1219</v>
      </c>
      <c r="D7" s="7" t="s">
        <v>353</v>
      </c>
      <c r="E7" s="19">
        <v>64</v>
      </c>
      <c r="F7" s="19">
        <v>320</v>
      </c>
      <c r="G7" s="19">
        <f>IF(OR(E7="",F7=""),"",E7*F7)</f>
      </c>
      <c r="H7" s="4" t="s">
        <v>1222</v>
      </c>
    </row>
    <row r="8" ht="18" customHeight="1" spans="1:8" x14ac:dyDescent="0.25">
      <c r="A8" s="20" t="s">
        <v>1225</v>
      </c>
      <c r="B8" s="21" t="s">
        <v>1226</v>
      </c>
      <c r="C8" s="21" t="s">
        <v>1219</v>
      </c>
      <c r="D8" s="22" t="s">
        <v>353</v>
      </c>
      <c r="E8" s="19">
        <v>18</v>
      </c>
      <c r="F8" s="19">
        <v>480</v>
      </c>
      <c r="G8" s="19">
        <f>IF(OR(E8="",F8=""),"",E8*F8)</f>
      </c>
      <c r="H8" s="21" t="s">
        <v>1222</v>
      </c>
    </row>
    <row r="9" ht="19.5" customHeight="1" spans="1:8" x14ac:dyDescent="0.25">
      <c r="A9" s="23" t="s">
        <v>1227</v>
      </c>
      <c r="B9"/>
      <c r="C9"/>
      <c r="D9"/>
      <c r="E9"/>
      <c r="F9"/>
      <c r="G9" s="24">
        <f>SUM(G5:G9)</f>
      </c>
      <c r="H9" s="23" t="s">
        <v>296</v>
      </c>
    </row>
    <row r="10" spans="1:1" x14ac:dyDescent="0.25"/>
    <row r="11" ht="19.5" customHeight="1" spans="1:8" x14ac:dyDescent="0.25">
      <c r="A11" s="5" t="s">
        <v>1228</v>
      </c>
      <c r="B11"/>
      <c r="C11"/>
      <c r="D11"/>
      <c r="E11"/>
      <c r="F11"/>
      <c r="G11"/>
      <c r="H11"/>
    </row>
    <row r="12" ht="32" customHeight="1" spans="1:8" x14ac:dyDescent="0.25">
      <c r="A12" s="18" t="s">
        <v>1229</v>
      </c>
      <c r="B12" s="4" t="s">
        <v>1230</v>
      </c>
      <c r="C12" s="4" t="s">
        <v>1231</v>
      </c>
      <c r="D12" s="7" t="s">
        <v>369</v>
      </c>
      <c r="E12" s="19">
        <v>1</v>
      </c>
      <c r="F12" s="19">
        <v>13800</v>
      </c>
      <c r="G12" s="19">
        <f>IF(OR(E12="",F12=""),"",E12*F12)</f>
      </c>
      <c r="H12" s="4" t="s">
        <v>1000</v>
      </c>
    </row>
    <row r="13" ht="18" customHeight="1" spans="1:8" x14ac:dyDescent="0.25">
      <c r="A13" s="20" t="s">
        <v>1232</v>
      </c>
      <c r="B13" s="21" t="s">
        <v>1233</v>
      </c>
      <c r="C13" s="21" t="s">
        <v>1231</v>
      </c>
      <c r="D13" s="22" t="s">
        <v>369</v>
      </c>
      <c r="E13" s="19">
        <v>1</v>
      </c>
      <c r="F13" s="19">
        <v>110</v>
      </c>
      <c r="G13" s="19">
        <f>IF(OR(E13="",F13=""),"",E13*F13)</f>
      </c>
      <c r="H13" s="21" t="s">
        <v>1000</v>
      </c>
    </row>
    <row r="14" ht="32" customHeight="1" spans="1:8" x14ac:dyDescent="0.25">
      <c r="A14" s="18" t="s">
        <v>1234</v>
      </c>
      <c r="B14" s="4" t="s">
        <v>1235</v>
      </c>
      <c r="C14" s="4" t="s">
        <v>1231</v>
      </c>
      <c r="D14" s="7" t="s">
        <v>369</v>
      </c>
      <c r="E14" s="19">
        <v>1</v>
      </c>
      <c r="F14" s="19">
        <v>110</v>
      </c>
      <c r="G14" s="19">
        <f>IF(OR(E14="",F14=""),"",E14*F14)</f>
      </c>
      <c r="H14" s="4" t="s">
        <v>1000</v>
      </c>
    </row>
    <row r="15" ht="32" customHeight="1" spans="1:8" x14ac:dyDescent="0.25">
      <c r="A15" s="20" t="s">
        <v>1236</v>
      </c>
      <c r="B15" s="21" t="s">
        <v>1237</v>
      </c>
      <c r="C15" s="21" t="s">
        <v>1231</v>
      </c>
      <c r="D15" s="22" t="s">
        <v>369</v>
      </c>
      <c r="E15" s="19">
        <v>1</v>
      </c>
      <c r="F15" s="19">
        <v>22000</v>
      </c>
      <c r="G15" s="19">
        <f>IF(OR(E15="",F15=""),"",E15*F15)</f>
      </c>
      <c r="H15" s="21" t="s">
        <v>1238</v>
      </c>
    </row>
    <row r="16" ht="18" customHeight="1" spans="1:8" x14ac:dyDescent="0.25">
      <c r="A16" s="18" t="s">
        <v>1239</v>
      </c>
      <c r="B16" s="4" t="s">
        <v>1240</v>
      </c>
      <c r="C16" s="4" t="s">
        <v>1231</v>
      </c>
      <c r="D16" s="7" t="s">
        <v>369</v>
      </c>
      <c r="E16" s="19">
        <v>1</v>
      </c>
      <c r="F16" s="19">
        <v>28000</v>
      </c>
      <c r="G16" s="19">
        <f>IF(OR(E16="",F16=""),"",E16*F16)</f>
      </c>
      <c r="H16" s="4" t="s">
        <v>1238</v>
      </c>
    </row>
    <row r="17" ht="19.5" customHeight="1" spans="1:8" x14ac:dyDescent="0.25">
      <c r="A17" s="23" t="s">
        <v>1241</v>
      </c>
      <c r="B17"/>
      <c r="C17"/>
      <c r="D17"/>
      <c r="E17"/>
      <c r="F17"/>
      <c r="G17" s="24">
        <f>SUM(G12:G17)</f>
      </c>
      <c r="H17" s="23" t="s">
        <v>296</v>
      </c>
    </row>
    <row r="18" spans="1:1" x14ac:dyDescent="0.25"/>
    <row r="19" ht="19.5" customHeight="1" spans="1:8" x14ac:dyDescent="0.25">
      <c r="A19" s="5" t="s">
        <v>1242</v>
      </c>
      <c r="B19"/>
      <c r="C19"/>
      <c r="D19"/>
      <c r="E19"/>
      <c r="F19"/>
      <c r="G19"/>
      <c r="H19"/>
    </row>
    <row r="20" ht="46" customHeight="1" spans="1:8" x14ac:dyDescent="0.25">
      <c r="A20" s="18" t="s">
        <v>1243</v>
      </c>
      <c r="B20" s="4" t="s">
        <v>1244</v>
      </c>
      <c r="C20" s="4" t="s">
        <v>1245</v>
      </c>
      <c r="D20" s="7" t="s">
        <v>285</v>
      </c>
      <c r="E20" s="19">
        <v>1</v>
      </c>
      <c r="F20" s="19">
        <v>85000</v>
      </c>
      <c r="G20" s="19">
        <f>IF(OR(E20="",F20=""),"",E20*F20)</f>
      </c>
      <c r="H20" s="4" t="s">
        <v>1246</v>
      </c>
    </row>
    <row r="21" ht="46" customHeight="1" spans="1:8" x14ac:dyDescent="0.25">
      <c r="A21" s="20" t="s">
        <v>1247</v>
      </c>
      <c r="B21" s="21" t="s">
        <v>1248</v>
      </c>
      <c r="C21" s="21" t="s">
        <v>1245</v>
      </c>
      <c r="D21" s="22" t="s">
        <v>357</v>
      </c>
      <c r="E21" s="19">
        <v>180</v>
      </c>
      <c r="F21" s="19">
        <v>38</v>
      </c>
      <c r="G21" s="19">
        <f>IF(OR(E21="",F21=""),"",E21*F21)</f>
      </c>
      <c r="H21" s="21" t="s">
        <v>1246</v>
      </c>
    </row>
    <row r="22" ht="32" customHeight="1" spans="1:8" x14ac:dyDescent="0.25">
      <c r="A22" s="18" t="s">
        <v>1249</v>
      </c>
      <c r="B22" s="4" t="s">
        <v>1250</v>
      </c>
      <c r="C22" s="4" t="s">
        <v>1245</v>
      </c>
      <c r="D22" s="7" t="s">
        <v>285</v>
      </c>
      <c r="E22" s="19">
        <v>1</v>
      </c>
      <c r="F22" s="19">
        <v>8500</v>
      </c>
      <c r="G22" s="19">
        <f>IF(OR(E22="",F22=""),"",E22*F22)</f>
      </c>
      <c r="H22" s="4" t="s">
        <v>1238</v>
      </c>
    </row>
    <row r="23" ht="19.5" customHeight="1" spans="1:8" x14ac:dyDescent="0.25">
      <c r="A23" s="23" t="s">
        <v>1251</v>
      </c>
      <c r="B23"/>
      <c r="C23"/>
      <c r="D23"/>
      <c r="E23"/>
      <c r="F23"/>
      <c r="G23" s="24">
        <f>SUM(G20:G23)</f>
      </c>
      <c r="H23" s="23" t="s">
        <v>296</v>
      </c>
    </row>
    <row r="24" spans="1:1" x14ac:dyDescent="0.25"/>
    <row r="25" ht="19.5" customHeight="1" spans="1:8" x14ac:dyDescent="0.25">
      <c r="A25" s="5" t="s">
        <v>1252</v>
      </c>
      <c r="B25"/>
      <c r="C25"/>
      <c r="D25"/>
      <c r="E25"/>
      <c r="F25"/>
      <c r="G25"/>
      <c r="H25"/>
    </row>
    <row r="26" ht="32" customHeight="1" spans="1:8" x14ac:dyDescent="0.25">
      <c r="A26" s="18" t="s">
        <v>1253</v>
      </c>
      <c r="B26" s="4" t="s">
        <v>1254</v>
      </c>
      <c r="C26" s="4" t="s">
        <v>1255</v>
      </c>
      <c r="D26" s="7" t="s">
        <v>353</v>
      </c>
      <c r="E26" s="19">
        <v>1</v>
      </c>
      <c r="F26" s="19">
        <v>1800</v>
      </c>
      <c r="G26" s="19">
        <f>IF(OR(E26="",F26=""),"",E26*F26)</f>
      </c>
      <c r="H26" s="4" t="s">
        <v>1256</v>
      </c>
    </row>
    <row r="27" ht="46" customHeight="1" spans="1:8" x14ac:dyDescent="0.25">
      <c r="A27" s="20" t="s">
        <v>1257</v>
      </c>
      <c r="B27" s="21" t="s">
        <v>1258</v>
      </c>
      <c r="C27" s="21" t="s">
        <v>1255</v>
      </c>
      <c r="D27" s="22" t="s">
        <v>353</v>
      </c>
      <c r="E27" s="19">
        <v>8</v>
      </c>
      <c r="F27" s="19">
        <v>1800</v>
      </c>
      <c r="G27" s="19">
        <f>IF(OR(E27="",F27=""),"",E27*F27)</f>
      </c>
      <c r="H27" s="21" t="s">
        <v>1256</v>
      </c>
    </row>
    <row r="28" ht="32" customHeight="1" spans="1:8" x14ac:dyDescent="0.25">
      <c r="A28" s="18" t="s">
        <v>1259</v>
      </c>
      <c r="B28" s="4" t="s">
        <v>1260</v>
      </c>
      <c r="C28" s="4" t="s">
        <v>1255</v>
      </c>
      <c r="D28" s="7" t="s">
        <v>353</v>
      </c>
      <c r="E28" s="19">
        <v>4</v>
      </c>
      <c r="F28" s="19">
        <v>6500</v>
      </c>
      <c r="G28" s="19">
        <f>IF(OR(E28="",F28=""),"",E28*F28)</f>
      </c>
      <c r="H28" s="4" t="s">
        <v>1261</v>
      </c>
    </row>
    <row r="29" ht="46" customHeight="1" spans="1:8" x14ac:dyDescent="0.25">
      <c r="A29" s="20" t="s">
        <v>1262</v>
      </c>
      <c r="B29" s="21" t="s">
        <v>1263</v>
      </c>
      <c r="C29" s="21" t="s">
        <v>1255</v>
      </c>
      <c r="D29" s="22" t="s">
        <v>353</v>
      </c>
      <c r="E29" s="19">
        <v>24</v>
      </c>
      <c r="F29" s="19">
        <v>1200</v>
      </c>
      <c r="G29" s="19">
        <f>IF(OR(E29="",F29=""),"",E29*F29)</f>
      </c>
      <c r="H29" s="21" t="s">
        <v>1264</v>
      </c>
    </row>
    <row r="30" ht="46" customHeight="1" spans="1:8" x14ac:dyDescent="0.25">
      <c r="A30" s="18" t="s">
        <v>1265</v>
      </c>
      <c r="B30" s="4" t="s">
        <v>1266</v>
      </c>
      <c r="C30" s="4" t="s">
        <v>1255</v>
      </c>
      <c r="D30" s="7" t="s">
        <v>353</v>
      </c>
      <c r="E30" s="19">
        <v>12</v>
      </c>
      <c r="F30" s="19">
        <v>950</v>
      </c>
      <c r="G30" s="19">
        <f>IF(OR(E30="",F30=""),"",E30*F30)</f>
      </c>
      <c r="H30" s="4" t="s">
        <v>1264</v>
      </c>
    </row>
    <row r="31" ht="46" customHeight="1" spans="1:8" x14ac:dyDescent="0.25">
      <c r="A31" s="20" t="s">
        <v>1267</v>
      </c>
      <c r="B31" s="21" t="s">
        <v>1268</v>
      </c>
      <c r="C31" s="21" t="s">
        <v>1255</v>
      </c>
      <c r="D31" s="22" t="s">
        <v>369</v>
      </c>
      <c r="E31" s="19">
        <v>1</v>
      </c>
      <c r="F31" s="19">
        <v>18000</v>
      </c>
      <c r="G31" s="19">
        <f>IF(OR(E31="",F31=""),"",E31*F31)</f>
      </c>
      <c r="H31" s="21" t="s">
        <v>1264</v>
      </c>
    </row>
    <row r="32" ht="46" customHeight="1" spans="1:8" x14ac:dyDescent="0.25">
      <c r="A32" s="18" t="s">
        <v>1269</v>
      </c>
      <c r="B32" s="4" t="s">
        <v>1270</v>
      </c>
      <c r="C32" s="4" t="s">
        <v>1255</v>
      </c>
      <c r="D32" s="7" t="s">
        <v>357</v>
      </c>
      <c r="E32" s="19">
        <v>280</v>
      </c>
      <c r="F32" s="19">
        <v>65</v>
      </c>
      <c r="G32" s="19">
        <f>IF(OR(E32="",F32=""),"",E32*F32)</f>
      </c>
      <c r="H32" s="4" t="s">
        <v>1256</v>
      </c>
    </row>
    <row r="33" ht="19.5" customHeight="1" spans="1:8" x14ac:dyDescent="0.25">
      <c r="A33" s="23" t="s">
        <v>1271</v>
      </c>
      <c r="B33"/>
      <c r="C33"/>
      <c r="D33"/>
      <c r="E33"/>
      <c r="F33"/>
      <c r="G33" s="24">
        <f>SUM(G26:G33)</f>
      </c>
      <c r="H33" s="23" t="s">
        <v>296</v>
      </c>
    </row>
    <row r="34" spans="1:1" x14ac:dyDescent="0.25"/>
    <row r="35" spans="1:1" x14ac:dyDescent="0.25"/>
    <row r="36" ht="24" customHeight="1" spans="1:8" x14ac:dyDescent="0.25">
      <c r="A36" s="25" t="s">
        <v>1272</v>
      </c>
      <c r="B36"/>
      <c r="C36"/>
      <c r="D36"/>
      <c r="E36"/>
      <c r="F36"/>
      <c r="G36" s="26">
        <f>SUMIF(G4:G34,"&lt;&gt;")</f>
      </c>
      <c r="H36" s="25" t="s">
        <v>296</v>
      </c>
    </row>
  </sheetData>
  <mergeCells count="11">
    <mergeCell ref="A1:H1"/>
    <mergeCell ref="A2:H2"/>
    <mergeCell ref="A4:H4"/>
    <mergeCell ref="A9:F9"/>
    <mergeCell ref="A11:H11"/>
    <mergeCell ref="A17:F17"/>
    <mergeCell ref="A19:H19"/>
    <mergeCell ref="A23:F23"/>
    <mergeCell ref="A25:H25"/>
    <mergeCell ref="A33:F33"/>
    <mergeCell ref="A36:F36"/>
  </mergeCells>
  <printOptions horizontalCentered="1"/>
  <pageMargins left="0.4" right="0.4" top="0.5" bottom="0.5" header="0.3" footer="0.3"/>
  <pageSetup paperSize="9" orientation="portrait" fitToWidth="1" fitToHeight="0"/>
  <headerFooter>
    <oddHeader>&amp;L&amp;"Arial,Bold"&amp;12Proposed B+G+8+R Commercial &amp; Residential Building&amp;R&amp;"Arial,Italic"&amp;10Job FA_P379 / CRs B/010/25</oddHeader>
    <oddFooter>&amp;LBill 10 — EMERGENCY LIGHTING &amp; LIFE SAFETY&amp;RPage &amp;P of &amp;N</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16"/>
  <sheetViews>
    <sheetView workbookViewId="0">
      <pane ySplit="3" topLeftCell="A4" activePane="bottomLeft" state="frozen"/>
      <selection pane="bottomLeft" activeCell="A4" sqref="A4"/>
    </sheetView>
  </sheetViews>
  <sheetFormatPr defaultRowHeight="15" outlineLevelRow="0" outlineLevelCol="0" x14ac:dyDescent="55"/>
  <cols>
    <col min="1" max="1" width="7" customWidth="1"/>
    <col min="2" max="2" width="58" customWidth="1"/>
    <col min="3" max="3" width="22" customWidth="1"/>
    <col min="4" max="4" width="8" customWidth="1"/>
    <col min="6" max="6" width="13" customWidth="1"/>
    <col min="7" max="7" width="16" customWidth="1"/>
    <col min="8" max="8" width="32" customWidth="1"/>
  </cols>
  <sheetData>
    <row r="1" ht="27.75" customHeight="1" spans="1:8" x14ac:dyDescent="0.25">
      <c r="A1" s="1" t="s">
        <v>1273</v>
      </c>
      <c r="B1"/>
      <c r="C1"/>
      <c r="D1"/>
      <c r="E1"/>
      <c r="F1"/>
      <c r="G1"/>
      <c r="H1"/>
    </row>
    <row r="2" ht="13.5" customHeight="1" spans="1:8" x14ac:dyDescent="0.25">
      <c r="A2" s="17" t="s">
        <v>273</v>
      </c>
      <c r="B2"/>
      <c r="C2"/>
      <c r="D2"/>
      <c r="E2"/>
      <c r="F2"/>
      <c r="G2"/>
      <c r="H2"/>
    </row>
    <row r="3" ht="27.75" customHeight="1" spans="1:9" x14ac:dyDescent="0.25">
      <c r="A3" s="6" t="s">
        <v>274</v>
      </c>
      <c r="B3" s="6" t="s">
        <v>41</v>
      </c>
      <c r="C3" s="6" t="s">
        <v>275</v>
      </c>
      <c r="D3" s="6" t="s">
        <v>276</v>
      </c>
      <c r="E3" s="6" t="s">
        <v>277</v>
      </c>
      <c r="F3" s="6" t="s">
        <v>278</v>
      </c>
      <c r="G3" s="6" t="s">
        <v>279</v>
      </c>
      <c r="H3" s="6" t="s">
        <v>280</v>
      </c>
    </row>
    <row r="4" ht="19.5" customHeight="1" spans="1:8" x14ac:dyDescent="0.25">
      <c r="A4" s="5" t="s">
        <v>1274</v>
      </c>
      <c r="B4"/>
      <c r="C4"/>
      <c r="D4"/>
      <c r="E4"/>
      <c r="F4"/>
      <c r="G4"/>
      <c r="H4"/>
    </row>
    <row r="5" ht="32" customHeight="1" spans="1:8" x14ac:dyDescent="0.25">
      <c r="A5" s="18" t="s">
        <v>1275</v>
      </c>
      <c r="B5" s="4" t="s">
        <v>1276</v>
      </c>
      <c r="C5" s="4" t="s">
        <v>1277</v>
      </c>
      <c r="D5" s="7" t="s">
        <v>357</v>
      </c>
      <c r="E5" s="19">
        <v>1200</v>
      </c>
      <c r="F5" s="19">
        <v>48</v>
      </c>
      <c r="G5" s="19">
        <f>IF(OR(E5="",F5=""),"",E5*F5)</f>
      </c>
      <c r="H5" s="4" t="s">
        <v>984</v>
      </c>
    </row>
    <row r="6" ht="32" customHeight="1" spans="1:8" x14ac:dyDescent="0.25">
      <c r="A6" s="20" t="s">
        <v>1278</v>
      </c>
      <c r="B6" s="21" t="s">
        <v>1279</v>
      </c>
      <c r="C6" s="21" t="s">
        <v>1277</v>
      </c>
      <c r="D6" s="22" t="s">
        <v>357</v>
      </c>
      <c r="E6" s="19">
        <v>600</v>
      </c>
      <c r="F6" s="19">
        <v>48</v>
      </c>
      <c r="G6" s="19">
        <f>IF(OR(E6="",F6=""),"",E6*F6)</f>
      </c>
      <c r="H6" s="21" t="s">
        <v>984</v>
      </c>
    </row>
    <row r="7" ht="32" customHeight="1" spans="1:8" x14ac:dyDescent="0.25">
      <c r="A7" s="18" t="s">
        <v>1280</v>
      </c>
      <c r="B7" s="4" t="s">
        <v>1281</v>
      </c>
      <c r="C7" s="4" t="s">
        <v>1277</v>
      </c>
      <c r="D7" s="7" t="s">
        <v>357</v>
      </c>
      <c r="E7" s="19">
        <v>350</v>
      </c>
      <c r="F7" s="19">
        <v>14</v>
      </c>
      <c r="G7" s="19">
        <f>IF(OR(E7="",F7=""),"",E7*F7)</f>
      </c>
      <c r="H7" s="4" t="s">
        <v>984</v>
      </c>
    </row>
    <row r="8" ht="32" customHeight="1" spans="1:8" x14ac:dyDescent="0.25">
      <c r="A8" s="20" t="s">
        <v>1282</v>
      </c>
      <c r="B8" s="21" t="s">
        <v>1283</v>
      </c>
      <c r="C8" s="21" t="s">
        <v>1277</v>
      </c>
      <c r="D8" s="22" t="s">
        <v>357</v>
      </c>
      <c r="E8" s="19">
        <v>800</v>
      </c>
      <c r="F8" s="19">
        <v>14</v>
      </c>
      <c r="G8" s="19">
        <f>IF(OR(E8="",F8=""),"",E8*F8)</f>
      </c>
      <c r="H8" s="21" t="s">
        <v>984</v>
      </c>
    </row>
    <row r="9" ht="32" customHeight="1" spans="1:8" x14ac:dyDescent="0.25">
      <c r="A9" s="18" t="s">
        <v>1284</v>
      </c>
      <c r="B9" s="4" t="s">
        <v>1285</v>
      </c>
      <c r="C9" s="4" t="s">
        <v>1277</v>
      </c>
      <c r="D9" s="7" t="s">
        <v>357</v>
      </c>
      <c r="E9" s="19">
        <v>900</v>
      </c>
      <c r="F9" s="19">
        <v>99</v>
      </c>
      <c r="G9" s="19">
        <f>IF(OR(E9="",F9=""),"",E9*F9)</f>
      </c>
      <c r="H9" s="4" t="s">
        <v>984</v>
      </c>
    </row>
    <row r="10" ht="32" customHeight="1" spans="1:8" x14ac:dyDescent="0.25">
      <c r="A10" s="20" t="s">
        <v>1286</v>
      </c>
      <c r="B10" s="21" t="s">
        <v>1287</v>
      </c>
      <c r="C10" s="21" t="s">
        <v>1277</v>
      </c>
      <c r="D10" s="22" t="s">
        <v>357</v>
      </c>
      <c r="E10" s="19">
        <v>600</v>
      </c>
      <c r="F10" s="19">
        <v>14</v>
      </c>
      <c r="G10" s="19">
        <f>IF(OR(E10="",F10=""),"",E10*F10)</f>
      </c>
      <c r="H10" s="21" t="s">
        <v>984</v>
      </c>
    </row>
    <row r="11" ht="18" customHeight="1" spans="1:8" x14ac:dyDescent="0.25">
      <c r="A11" s="18" t="s">
        <v>1288</v>
      </c>
      <c r="B11" s="4" t="s">
        <v>1289</v>
      </c>
      <c r="C11" s="4" t="s">
        <v>1277</v>
      </c>
      <c r="D11" s="7" t="s">
        <v>357</v>
      </c>
      <c r="E11" s="19">
        <v>250</v>
      </c>
      <c r="F11" s="19">
        <v>14</v>
      </c>
      <c r="G11" s="19">
        <f>IF(OR(E11="",F11=""),"",E11*F11)</f>
      </c>
      <c r="H11" s="4" t="s">
        <v>984</v>
      </c>
    </row>
    <row r="12" ht="32" customHeight="1" spans="1:8" x14ac:dyDescent="0.25">
      <c r="A12" s="20" t="s">
        <v>1290</v>
      </c>
      <c r="B12" s="21" t="s">
        <v>1291</v>
      </c>
      <c r="C12" s="21" t="s">
        <v>1277</v>
      </c>
      <c r="D12" s="22" t="s">
        <v>357</v>
      </c>
      <c r="E12" s="19">
        <v>80</v>
      </c>
      <c r="F12" s="19">
        <v>160</v>
      </c>
      <c r="G12" s="19">
        <f>IF(OR(E12="",F12=""),"",E12*F12)</f>
      </c>
      <c r="H12" s="21" t="s">
        <v>984</v>
      </c>
    </row>
    <row r="13" ht="19.5" customHeight="1" spans="1:8" x14ac:dyDescent="0.25">
      <c r="A13" s="23" t="s">
        <v>1292</v>
      </c>
      <c r="B13"/>
      <c r="C13"/>
      <c r="D13"/>
      <c r="E13"/>
      <c r="F13"/>
      <c r="G13" s="24">
        <f>SUM(G5:G13)</f>
      </c>
      <c r="H13" s="23" t="s">
        <v>296</v>
      </c>
    </row>
    <row r="14" spans="1:1" x14ac:dyDescent="0.25"/>
    <row r="15" spans="1:1" x14ac:dyDescent="0.25"/>
    <row r="16" ht="24" customHeight="1" spans="1:8" x14ac:dyDescent="0.25">
      <c r="A16" s="25" t="s">
        <v>1293</v>
      </c>
      <c r="B16"/>
      <c r="C16"/>
      <c r="D16"/>
      <c r="E16"/>
      <c r="F16"/>
      <c r="G16" s="26">
        <f>SUMIF(G4:G14,"&lt;&gt;")</f>
      </c>
      <c r="H16" s="25" t="s">
        <v>296</v>
      </c>
    </row>
  </sheetData>
  <mergeCells count="5">
    <mergeCell ref="A1:H1"/>
    <mergeCell ref="A2:H2"/>
    <mergeCell ref="A4:H4"/>
    <mergeCell ref="A13:F13"/>
    <mergeCell ref="A16:F16"/>
  </mergeCells>
  <printOptions horizontalCentered="1"/>
  <pageMargins left="0.4" right="0.4" top="0.5" bottom="0.5" header="0.3" footer="0.3"/>
  <pageSetup paperSize="9" orientation="portrait" fitToWidth="1" fitToHeight="0"/>
  <headerFooter>
    <oddHeader>&amp;L&amp;"Arial,Bold"&amp;12Proposed B+G+8+R Commercial &amp; Residential Building&amp;R&amp;"Arial,Italic"&amp;10Job FA_P379 / CRs B/010/25</oddHeader>
    <oddFooter>&amp;LBill 11 — ELV CONTAINMENT (Tel/Data, CCTV, ACS, MATV, FA)&amp;RPage &amp;P of &amp;N</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21"/>
  <sheetViews>
    <sheetView workbookViewId="0">
      <pane ySplit="3" topLeftCell="A4" activePane="bottomLeft" state="frozen"/>
      <selection pane="bottomLeft" activeCell="A4" sqref="A4"/>
    </sheetView>
  </sheetViews>
  <sheetFormatPr defaultRowHeight="15" outlineLevelRow="0" outlineLevelCol="0" x14ac:dyDescent="55"/>
  <cols>
    <col min="1" max="1" width="7" customWidth="1"/>
    <col min="2" max="2" width="58" customWidth="1"/>
    <col min="3" max="3" width="22" customWidth="1"/>
    <col min="4" max="4" width="8" customWidth="1"/>
    <col min="6" max="6" width="13" customWidth="1"/>
    <col min="7" max="7" width="16" customWidth="1"/>
    <col min="8" max="8" width="32" customWidth="1"/>
  </cols>
  <sheetData>
    <row r="1" ht="27.75" customHeight="1" spans="1:8" x14ac:dyDescent="0.25">
      <c r="A1" s="1" t="s">
        <v>1294</v>
      </c>
      <c r="B1"/>
      <c r="C1"/>
      <c r="D1"/>
      <c r="E1"/>
      <c r="F1"/>
      <c r="G1"/>
      <c r="H1"/>
    </row>
    <row r="2" ht="13.5" customHeight="1" spans="1:8" x14ac:dyDescent="0.25">
      <c r="A2" s="17" t="s">
        <v>273</v>
      </c>
      <c r="B2"/>
      <c r="C2"/>
      <c r="D2"/>
      <c r="E2"/>
      <c r="F2"/>
      <c r="G2"/>
      <c r="H2"/>
    </row>
    <row r="3" ht="27.75" customHeight="1" spans="1:9" x14ac:dyDescent="0.25">
      <c r="A3" s="6" t="s">
        <v>274</v>
      </c>
      <c r="B3" s="6" t="s">
        <v>41</v>
      </c>
      <c r="C3" s="6" t="s">
        <v>275</v>
      </c>
      <c r="D3" s="6" t="s">
        <v>276</v>
      </c>
      <c r="E3" s="6" t="s">
        <v>277</v>
      </c>
      <c r="F3" s="6" t="s">
        <v>278</v>
      </c>
      <c r="G3" s="6" t="s">
        <v>279</v>
      </c>
      <c r="H3" s="6" t="s">
        <v>280</v>
      </c>
    </row>
    <row r="4" ht="19.5" customHeight="1" spans="1:8" x14ac:dyDescent="0.25">
      <c r="A4" s="5" t="s">
        <v>1295</v>
      </c>
      <c r="B4"/>
      <c r="C4"/>
      <c r="D4"/>
      <c r="E4"/>
      <c r="F4"/>
      <c r="G4"/>
      <c r="H4"/>
    </row>
    <row r="5" ht="74" customHeight="1" spans="1:8" x14ac:dyDescent="0.25">
      <c r="A5" s="18" t="s">
        <v>1296</v>
      </c>
      <c r="B5" s="4" t="s">
        <v>1297</v>
      </c>
      <c r="C5" s="4" t="s">
        <v>1298</v>
      </c>
      <c r="D5" s="7" t="s">
        <v>353</v>
      </c>
      <c r="E5" s="19">
        <v>120</v>
      </c>
      <c r="F5" s="19">
        <v>850</v>
      </c>
      <c r="G5" s="19">
        <f>IF(OR(E5="",F5=""),"",E5*F5)</f>
      </c>
      <c r="H5" s="4" t="s">
        <v>1299</v>
      </c>
    </row>
    <row r="6" ht="60" customHeight="1" spans="1:8" x14ac:dyDescent="0.25">
      <c r="A6" s="20" t="s">
        <v>1300</v>
      </c>
      <c r="B6" s="21" t="s">
        <v>1301</v>
      </c>
      <c r="C6" s="21" t="s">
        <v>1298</v>
      </c>
      <c r="D6" s="22" t="s">
        <v>353</v>
      </c>
      <c r="E6" s="19">
        <v>12</v>
      </c>
      <c r="F6" s="19">
        <v>2400</v>
      </c>
      <c r="G6" s="19">
        <f>IF(OR(E6="",F6=""),"",E6*F6)</f>
      </c>
      <c r="H6" s="21" t="s">
        <v>1299</v>
      </c>
    </row>
    <row r="7" ht="46" customHeight="1" spans="1:8" x14ac:dyDescent="0.25">
      <c r="A7" s="18" t="s">
        <v>1302</v>
      </c>
      <c r="B7" s="4" t="s">
        <v>1303</v>
      </c>
      <c r="C7" s="4" t="s">
        <v>1298</v>
      </c>
      <c r="D7" s="7" t="s">
        <v>353</v>
      </c>
      <c r="E7" s="19">
        <v>8</v>
      </c>
      <c r="F7" s="19">
        <v>3200</v>
      </c>
      <c r="G7" s="19">
        <f>IF(OR(E7="",F7=""),"",E7*F7)</f>
      </c>
      <c r="H7" s="4" t="s">
        <v>1299</v>
      </c>
    </row>
    <row r="8" ht="46" customHeight="1" spans="1:8" x14ac:dyDescent="0.25">
      <c r="A8" s="20" t="s">
        <v>1304</v>
      </c>
      <c r="B8" s="21" t="s">
        <v>1305</v>
      </c>
      <c r="C8" s="21" t="s">
        <v>1298</v>
      </c>
      <c r="D8" s="22" t="s">
        <v>369</v>
      </c>
      <c r="E8" s="19">
        <v>1</v>
      </c>
      <c r="F8" s="19">
        <v>12000</v>
      </c>
      <c r="G8" s="19">
        <f>IF(OR(E8="",F8=""),"",E8*F8)</f>
      </c>
      <c r="H8" s="21" t="s">
        <v>1306</v>
      </c>
    </row>
    <row r="9" ht="60" customHeight="1" spans="1:8" x14ac:dyDescent="0.25">
      <c r="A9" s="18" t="s">
        <v>1307</v>
      </c>
      <c r="B9" s="4" t="s">
        <v>1308</v>
      </c>
      <c r="C9" s="4" t="s">
        <v>1298</v>
      </c>
      <c r="D9" s="7" t="s">
        <v>285</v>
      </c>
      <c r="E9" s="19">
        <v>1</v>
      </c>
      <c r="F9" s="19">
        <v>28000</v>
      </c>
      <c r="G9" s="19">
        <f>IF(OR(E9="",F9=""),"",E9*F9)</f>
      </c>
      <c r="H9" s="4" t="s">
        <v>1299</v>
      </c>
    </row>
    <row r="10" ht="19.5" customHeight="1" spans="1:8" x14ac:dyDescent="0.25">
      <c r="A10" s="23" t="s">
        <v>1309</v>
      </c>
      <c r="B10"/>
      <c r="C10"/>
      <c r="D10"/>
      <c r="E10"/>
      <c r="F10"/>
      <c r="G10" s="24">
        <f>SUM(G5:G10)</f>
      </c>
      <c r="H10" s="23" t="s">
        <v>296</v>
      </c>
    </row>
    <row r="11" spans="1:1" x14ac:dyDescent="0.25"/>
    <row r="12" ht="19.5" customHeight="1" spans="1:8" x14ac:dyDescent="0.25">
      <c r="A12" s="5" t="s">
        <v>1310</v>
      </c>
      <c r="B12"/>
      <c r="C12"/>
      <c r="D12"/>
      <c r="E12"/>
      <c r="F12"/>
      <c r="G12"/>
      <c r="H12"/>
    </row>
    <row r="13" ht="46" customHeight="1" spans="1:8" x14ac:dyDescent="0.25">
      <c r="A13" s="18" t="s">
        <v>1311</v>
      </c>
      <c r="B13" s="4" t="s">
        <v>1312</v>
      </c>
      <c r="C13" s="4" t="s">
        <v>1298</v>
      </c>
      <c r="D13" s="7" t="s">
        <v>353</v>
      </c>
      <c r="E13" s="19">
        <v>12</v>
      </c>
      <c r="F13" s="19">
        <v>2800</v>
      </c>
      <c r="G13" s="19">
        <f>IF(OR(E13="",F13=""),"",E13*F13)</f>
      </c>
      <c r="H13" s="4" t="s">
        <v>1306</v>
      </c>
    </row>
    <row r="14" ht="46" customHeight="1" spans="1:8" x14ac:dyDescent="0.25">
      <c r="A14" s="20" t="s">
        <v>1313</v>
      </c>
      <c r="B14" s="21" t="s">
        <v>1314</v>
      </c>
      <c r="C14" s="21" t="s">
        <v>1298</v>
      </c>
      <c r="D14" s="22" t="s">
        <v>285</v>
      </c>
      <c r="E14" s="19">
        <v>1</v>
      </c>
      <c r="F14" s="19">
        <v>85000</v>
      </c>
      <c r="G14" s="19">
        <f>IF(OR(E14="",F14=""),"",E14*F14)</f>
      </c>
      <c r="H14" s="21" t="s">
        <v>1299</v>
      </c>
    </row>
    <row r="15" ht="46" customHeight="1" spans="1:8" x14ac:dyDescent="0.25">
      <c r="A15" s="18" t="s">
        <v>1315</v>
      </c>
      <c r="B15" s="4" t="s">
        <v>1316</v>
      </c>
      <c r="C15" s="4" t="s">
        <v>1298</v>
      </c>
      <c r="D15" s="7" t="s">
        <v>285</v>
      </c>
      <c r="E15" s="19">
        <v>1</v>
      </c>
      <c r="F15" s="19">
        <v>25000</v>
      </c>
      <c r="G15" s="19">
        <f>IF(OR(E15="",F15=""),"",E15*F15)</f>
      </c>
      <c r="H15" s="4" t="s">
        <v>1299</v>
      </c>
    </row>
    <row r="16" ht="32" customHeight="1" spans="1:8" x14ac:dyDescent="0.25">
      <c r="A16" s="20" t="s">
        <v>1317</v>
      </c>
      <c r="B16" s="21" t="s">
        <v>1318</v>
      </c>
      <c r="C16" s="21" t="s">
        <v>1298</v>
      </c>
      <c r="D16" s="22" t="s">
        <v>285</v>
      </c>
      <c r="E16" s="19">
        <v>1</v>
      </c>
      <c r="F16" s="19">
        <v>18000</v>
      </c>
      <c r="G16" s="19">
        <f>IF(OR(E16="",F16=""),"",E16*F16)</f>
      </c>
      <c r="H16" s="21" t="s">
        <v>1299</v>
      </c>
    </row>
    <row r="17" ht="32" customHeight="1" spans="1:8" x14ac:dyDescent="0.25">
      <c r="A17" s="18" t="s">
        <v>1319</v>
      </c>
      <c r="B17" s="4" t="s">
        <v>1320</v>
      </c>
      <c r="C17" s="4" t="s">
        <v>1298</v>
      </c>
      <c r="D17" s="7" t="s">
        <v>285</v>
      </c>
      <c r="E17" s="19">
        <v>1</v>
      </c>
      <c r="F17" s="19">
        <v>12000</v>
      </c>
      <c r="G17" s="19">
        <f>IF(OR(E17="",F17=""),"",E17*F17)</f>
      </c>
      <c r="H17" s="4" t="s">
        <v>1299</v>
      </c>
    </row>
    <row r="18" ht="19.5" customHeight="1" spans="1:8" x14ac:dyDescent="0.25">
      <c r="A18" s="23" t="s">
        <v>1321</v>
      </c>
      <c r="B18"/>
      <c r="C18"/>
      <c r="D18"/>
      <c r="E18"/>
      <c r="F18"/>
      <c r="G18" s="24">
        <f>SUM(G13:G18)</f>
      </c>
      <c r="H18" s="23" t="s">
        <v>296</v>
      </c>
    </row>
    <row r="19" spans="1:1" x14ac:dyDescent="0.25"/>
    <row r="20" spans="1:1" x14ac:dyDescent="0.25"/>
    <row r="21" ht="24" customHeight="1" spans="1:8" x14ac:dyDescent="0.25">
      <c r="A21" s="25" t="s">
        <v>1322</v>
      </c>
      <c r="B21"/>
      <c r="C21"/>
      <c r="D21"/>
      <c r="E21"/>
      <c r="F21"/>
      <c r="G21" s="26">
        <f>SUMIF(G4:G19,"&lt;&gt;")</f>
      </c>
      <c r="H21" s="25" t="s">
        <v>296</v>
      </c>
    </row>
  </sheetData>
  <mergeCells count="7">
    <mergeCell ref="A1:H1"/>
    <mergeCell ref="A2:H2"/>
    <mergeCell ref="A4:H4"/>
    <mergeCell ref="A10:F10"/>
    <mergeCell ref="A12:H12"/>
    <mergeCell ref="A18:F18"/>
    <mergeCell ref="A21:F21"/>
  </mergeCells>
  <printOptions horizontalCentered="1"/>
  <pageMargins left="0.4" right="0.4" top="0.5" bottom="0.5" header="0.3" footer="0.3"/>
  <pageSetup paperSize="9" orientation="portrait" fitToWidth="1" fitToHeight="0"/>
  <headerFooter>
    <oddHeader>&amp;L&amp;"Arial,Bold"&amp;12Proposed B+G+8+R Commercial &amp; Residential Building&amp;R&amp;"Arial,Italic"&amp;10Job FA_P379 / CRs B/010/25</oddHeader>
    <oddFooter>&amp;LBill 12 — METERING &amp; MONITORING&amp;RPage &amp;P of &amp;N</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35"/>
  <sheetViews>
    <sheetView workbookViewId="0">
      <pane ySplit="3" topLeftCell="A4" activePane="bottomLeft" state="frozen"/>
      <selection pane="bottomLeft" activeCell="A4" sqref="A4"/>
    </sheetView>
  </sheetViews>
  <sheetFormatPr defaultRowHeight="15" outlineLevelRow="0" outlineLevelCol="0" x14ac:dyDescent="55"/>
  <cols>
    <col min="1" max="1" width="7" customWidth="1"/>
    <col min="2" max="2" width="58" customWidth="1"/>
    <col min="3" max="3" width="22" customWidth="1"/>
    <col min="4" max="4" width="8" customWidth="1"/>
    <col min="6" max="6" width="13" customWidth="1"/>
    <col min="7" max="7" width="16" customWidth="1"/>
    <col min="8" max="8" width="32" customWidth="1"/>
  </cols>
  <sheetData>
    <row r="1" ht="27.75" customHeight="1" spans="1:8" x14ac:dyDescent="0.25">
      <c r="A1" s="1" t="s">
        <v>1323</v>
      </c>
      <c r="B1"/>
      <c r="C1"/>
      <c r="D1"/>
      <c r="E1"/>
      <c r="F1"/>
      <c r="G1"/>
      <c r="H1"/>
    </row>
    <row r="2" ht="13.5" customHeight="1" spans="1:8" x14ac:dyDescent="0.25">
      <c r="A2" s="17" t="s">
        <v>273</v>
      </c>
      <c r="B2"/>
      <c r="C2"/>
      <c r="D2"/>
      <c r="E2"/>
      <c r="F2"/>
      <c r="G2"/>
      <c r="H2"/>
    </row>
    <row r="3" ht="27.75" customHeight="1" spans="1:9" x14ac:dyDescent="0.25">
      <c r="A3" s="6" t="s">
        <v>274</v>
      </c>
      <c r="B3" s="6" t="s">
        <v>41</v>
      </c>
      <c r="C3" s="6" t="s">
        <v>275</v>
      </c>
      <c r="D3" s="6" t="s">
        <v>276</v>
      </c>
      <c r="E3" s="6" t="s">
        <v>277</v>
      </c>
      <c r="F3" s="6" t="s">
        <v>278</v>
      </c>
      <c r="G3" s="6" t="s">
        <v>279</v>
      </c>
      <c r="H3" s="6" t="s">
        <v>280</v>
      </c>
    </row>
    <row r="4" ht="19.5" customHeight="1" spans="1:8" x14ac:dyDescent="0.25">
      <c r="A4" s="5" t="s">
        <v>1324</v>
      </c>
      <c r="B4"/>
      <c r="C4"/>
      <c r="D4"/>
      <c r="E4"/>
      <c r="F4"/>
      <c r="G4"/>
      <c r="H4"/>
    </row>
    <row r="5" ht="32" customHeight="1" spans="1:8" x14ac:dyDescent="0.25">
      <c r="A5" s="18" t="s">
        <v>1325</v>
      </c>
      <c r="B5" s="4" t="s">
        <v>1326</v>
      </c>
      <c r="C5" s="4" t="s">
        <v>1327</v>
      </c>
      <c r="D5" s="7" t="s">
        <v>285</v>
      </c>
      <c r="E5" s="19">
        <v>1</v>
      </c>
      <c r="F5" s="19">
        <v>18000</v>
      </c>
      <c r="G5" s="19">
        <f>IF(OR(E5="",F5=""),"",E5*F5)</f>
      </c>
      <c r="H5" s="4" t="s">
        <v>286</v>
      </c>
    </row>
    <row r="6" ht="18" customHeight="1" spans="1:8" x14ac:dyDescent="0.25">
      <c r="A6" s="20" t="s">
        <v>1328</v>
      </c>
      <c r="B6" s="21" t="s">
        <v>1329</v>
      </c>
      <c r="C6" s="21" t="s">
        <v>1327</v>
      </c>
      <c r="D6" s="22" t="s">
        <v>285</v>
      </c>
      <c r="E6" s="19">
        <v>1</v>
      </c>
      <c r="F6" s="19">
        <v>12000</v>
      </c>
      <c r="G6" s="19">
        <f>IF(OR(E6="",F6=""),"",E6*F6)</f>
      </c>
      <c r="H6" s="21" t="s">
        <v>286</v>
      </c>
    </row>
    <row r="7" ht="18" customHeight="1" spans="1:8" x14ac:dyDescent="0.25">
      <c r="A7" s="18" t="s">
        <v>1330</v>
      </c>
      <c r="B7" s="4" t="s">
        <v>1331</v>
      </c>
      <c r="C7" s="4" t="s">
        <v>1327</v>
      </c>
      <c r="D7" s="7" t="s">
        <v>285</v>
      </c>
      <c r="E7" s="19">
        <v>1</v>
      </c>
      <c r="F7" s="19">
        <v>2400</v>
      </c>
      <c r="G7" s="19">
        <f>IF(OR(E7="",F7=""),"",E7*F7)</f>
      </c>
      <c r="H7" s="4" t="s">
        <v>286</v>
      </c>
    </row>
    <row r="8" ht="18" customHeight="1" spans="1:8" x14ac:dyDescent="0.25">
      <c r="A8" s="20" t="s">
        <v>1332</v>
      </c>
      <c r="B8" s="21" t="s">
        <v>1333</v>
      </c>
      <c r="C8" s="21" t="s">
        <v>1327</v>
      </c>
      <c r="D8" s="22" t="s">
        <v>285</v>
      </c>
      <c r="E8" s="19">
        <v>1</v>
      </c>
      <c r="F8" s="19">
        <v>6500</v>
      </c>
      <c r="G8" s="19">
        <f>IF(OR(E8="",F8=""),"",E8*F8)</f>
      </c>
      <c r="H8" s="21" t="s">
        <v>286</v>
      </c>
    </row>
    <row r="9" ht="18" customHeight="1" spans="1:8" x14ac:dyDescent="0.25">
      <c r="A9" s="18" t="s">
        <v>1334</v>
      </c>
      <c r="B9" s="4" t="s">
        <v>1335</v>
      </c>
      <c r="C9" s="4" t="s">
        <v>1327</v>
      </c>
      <c r="D9" s="7" t="s">
        <v>285</v>
      </c>
      <c r="E9" s="19">
        <v>1</v>
      </c>
      <c r="F9" s="19">
        <v>5500</v>
      </c>
      <c r="G9" s="19">
        <f>IF(OR(E9="",F9=""),"",E9*F9)</f>
      </c>
      <c r="H9" s="4" t="s">
        <v>286</v>
      </c>
    </row>
    <row r="10" ht="19.5" customHeight="1" spans="1:8" x14ac:dyDescent="0.25">
      <c r="A10" s="23" t="s">
        <v>1336</v>
      </c>
      <c r="B10"/>
      <c r="C10"/>
      <c r="D10"/>
      <c r="E10"/>
      <c r="F10"/>
      <c r="G10" s="24">
        <f>SUM(G5:G10)</f>
      </c>
      <c r="H10" s="23" t="s">
        <v>296</v>
      </c>
    </row>
    <row r="11" spans="1:1" x14ac:dyDescent="0.25"/>
    <row r="12" ht="19.5" customHeight="1" spans="1:8" x14ac:dyDescent="0.25">
      <c r="A12" s="5" t="s">
        <v>1337</v>
      </c>
      <c r="B12"/>
      <c r="C12"/>
      <c r="D12"/>
      <c r="E12"/>
      <c r="F12"/>
      <c r="G12"/>
      <c r="H12"/>
    </row>
    <row r="13" ht="32" customHeight="1" spans="1:8" x14ac:dyDescent="0.25">
      <c r="A13" s="18" t="s">
        <v>1338</v>
      </c>
      <c r="B13" s="4" t="s">
        <v>1339</v>
      </c>
      <c r="C13" s="4" t="s">
        <v>1327</v>
      </c>
      <c r="D13" s="7" t="s">
        <v>285</v>
      </c>
      <c r="E13" s="19">
        <v>1</v>
      </c>
      <c r="F13" s="19">
        <v>80000</v>
      </c>
      <c r="G13" s="19">
        <f>IF(OR(E13="",F13=""),"",E13*F13)</f>
      </c>
      <c r="H13" s="4" t="s">
        <v>1340</v>
      </c>
    </row>
    <row r="14" ht="32" customHeight="1" spans="1:8" x14ac:dyDescent="0.25">
      <c r="A14" s="20" t="s">
        <v>1341</v>
      </c>
      <c r="B14" s="21" t="s">
        <v>1342</v>
      </c>
      <c r="C14" s="21" t="s">
        <v>1327</v>
      </c>
      <c r="D14" s="22" t="s">
        <v>285</v>
      </c>
      <c r="E14" s="19">
        <v>1</v>
      </c>
      <c r="F14" s="19">
        <v>28000</v>
      </c>
      <c r="G14" s="19">
        <f>IF(OR(E14="",F14=""),"",E14*F14)</f>
      </c>
      <c r="H14" s="21" t="s">
        <v>1343</v>
      </c>
    </row>
    <row r="15" ht="32" customHeight="1" spans="1:8" x14ac:dyDescent="0.25">
      <c r="A15" s="18" t="s">
        <v>1344</v>
      </c>
      <c r="B15" s="4" t="s">
        <v>1345</v>
      </c>
      <c r="C15" s="4" t="s">
        <v>1327</v>
      </c>
      <c r="D15" s="7" t="s">
        <v>285</v>
      </c>
      <c r="E15" s="19">
        <v>1</v>
      </c>
      <c r="F15" s="19">
        <v>8500</v>
      </c>
      <c r="G15" s="19">
        <f>IF(OR(E15="",F15=""),"",E15*F15)</f>
      </c>
      <c r="H15" s="4" t="s">
        <v>286</v>
      </c>
    </row>
    <row r="16" ht="32" customHeight="1" spans="1:8" x14ac:dyDescent="0.25">
      <c r="A16" s="20" t="s">
        <v>1346</v>
      </c>
      <c r="B16" s="21" t="s">
        <v>1347</v>
      </c>
      <c r="C16" s="21" t="s">
        <v>1327</v>
      </c>
      <c r="D16" s="22" t="s">
        <v>285</v>
      </c>
      <c r="E16" s="19">
        <v>1</v>
      </c>
      <c r="F16" s="19">
        <v>1200</v>
      </c>
      <c r="G16" s="19">
        <f>IF(OR(E16="",F16=""),"",E16*F16)</f>
      </c>
      <c r="H16" s="21" t="s">
        <v>1180</v>
      </c>
    </row>
    <row r="17" ht="32" customHeight="1" spans="1:8" x14ac:dyDescent="0.25">
      <c r="A17" s="18" t="s">
        <v>1348</v>
      </c>
      <c r="B17" s="4" t="s">
        <v>1349</v>
      </c>
      <c r="C17" s="4" t="s">
        <v>1327</v>
      </c>
      <c r="D17" s="7" t="s">
        <v>285</v>
      </c>
      <c r="E17" s="19">
        <v>1</v>
      </c>
      <c r="F17" s="19">
        <v>5500</v>
      </c>
      <c r="G17" s="19">
        <f>IF(OR(E17="",F17=""),"",E17*F17)</f>
      </c>
      <c r="H17" s="4" t="s">
        <v>1193</v>
      </c>
    </row>
    <row r="18" ht="18" customHeight="1" spans="1:8" x14ac:dyDescent="0.25">
      <c r="A18" s="20" t="s">
        <v>1350</v>
      </c>
      <c r="B18" s="21" t="s">
        <v>1351</v>
      </c>
      <c r="C18" s="21" t="s">
        <v>1327</v>
      </c>
      <c r="D18" s="22" t="s">
        <v>285</v>
      </c>
      <c r="E18" s="19">
        <v>1</v>
      </c>
      <c r="F18" s="19">
        <v>4500</v>
      </c>
      <c r="G18" s="19">
        <f>IF(OR(E18="",F18=""),"",E18*F18)</f>
      </c>
      <c r="H18" s="21" t="s">
        <v>286</v>
      </c>
    </row>
    <row r="19" ht="19.5" customHeight="1" spans="1:8" x14ac:dyDescent="0.25">
      <c r="A19" s="23" t="s">
        <v>1352</v>
      </c>
      <c r="B19"/>
      <c r="C19"/>
      <c r="D19"/>
      <c r="E19"/>
      <c r="F19"/>
      <c r="G19" s="24">
        <f>SUM(G13:G19)</f>
      </c>
      <c r="H19" s="23" t="s">
        <v>296</v>
      </c>
    </row>
    <row r="20" spans="1:1" x14ac:dyDescent="0.25"/>
    <row r="21" ht="19.5" customHeight="1" spans="1:8" x14ac:dyDescent="0.25">
      <c r="A21" s="5" t="s">
        <v>1353</v>
      </c>
      <c r="B21"/>
      <c r="C21"/>
      <c r="D21"/>
      <c r="E21"/>
      <c r="F21"/>
      <c r="G21"/>
      <c r="H21"/>
    </row>
    <row r="22" ht="74" customHeight="1" spans="1:8" x14ac:dyDescent="0.25">
      <c r="A22" s="18" t="s">
        <v>1354</v>
      </c>
      <c r="B22" s="4" t="s">
        <v>1355</v>
      </c>
      <c r="C22" s="4" t="s">
        <v>1327</v>
      </c>
      <c r="D22" s="7" t="s">
        <v>285</v>
      </c>
      <c r="E22" s="19">
        <v>1</v>
      </c>
      <c r="F22" s="19">
        <v>35000</v>
      </c>
      <c r="G22" s="19">
        <f>IF(OR(E22="",F22=""),"",E22*F22)</f>
      </c>
      <c r="H22" s="4" t="s">
        <v>331</v>
      </c>
    </row>
    <row r="23" ht="32" customHeight="1" spans="1:8" x14ac:dyDescent="0.25">
      <c r="A23" s="20" t="s">
        <v>1356</v>
      </c>
      <c r="B23" s="21" t="s">
        <v>1357</v>
      </c>
      <c r="C23" s="21" t="s">
        <v>1327</v>
      </c>
      <c r="D23" s="22" t="s">
        <v>285</v>
      </c>
      <c r="E23" s="19">
        <v>1</v>
      </c>
      <c r="F23" s="19">
        <v>50000</v>
      </c>
      <c r="G23" s="19">
        <f>IF(OR(E23="",F23=""),"",E23*F23)</f>
      </c>
      <c r="H23" s="21" t="s">
        <v>331</v>
      </c>
    </row>
    <row r="24" ht="46" customHeight="1" spans="1:8" x14ac:dyDescent="0.25">
      <c r="A24" s="18" t="s">
        <v>1358</v>
      </c>
      <c r="B24" s="4" t="s">
        <v>1359</v>
      </c>
      <c r="C24" s="4" t="s">
        <v>1327</v>
      </c>
      <c r="D24" s="7" t="s">
        <v>285</v>
      </c>
      <c r="E24" s="19">
        <v>1</v>
      </c>
      <c r="F24" s="19">
        <v>18000</v>
      </c>
      <c r="G24" s="19">
        <f>IF(OR(E24="",F24=""),"",E24*F24)</f>
      </c>
      <c r="H24" s="4" t="s">
        <v>331</v>
      </c>
    </row>
    <row r="25" ht="46" customHeight="1" spans="1:8" x14ac:dyDescent="0.25">
      <c r="A25" s="20" t="s">
        <v>1360</v>
      </c>
      <c r="B25" s="21" t="s">
        <v>1361</v>
      </c>
      <c r="C25" s="21" t="s">
        <v>1327</v>
      </c>
      <c r="D25" s="22" t="s">
        <v>285</v>
      </c>
      <c r="E25" s="19">
        <v>1</v>
      </c>
      <c r="F25" s="19">
        <v>22000</v>
      </c>
      <c r="G25" s="19">
        <f>IF(OR(E25="",F25=""),"",E25*F25)</f>
      </c>
      <c r="H25" s="21" t="s">
        <v>331</v>
      </c>
    </row>
    <row r="26" ht="46" customHeight="1" spans="1:8" x14ac:dyDescent="0.25">
      <c r="A26" s="18" t="s">
        <v>1362</v>
      </c>
      <c r="B26" s="4" t="s">
        <v>1363</v>
      </c>
      <c r="C26" s="4" t="s">
        <v>1327</v>
      </c>
      <c r="D26" s="7" t="s">
        <v>285</v>
      </c>
      <c r="E26" s="19">
        <v>1</v>
      </c>
      <c r="F26" s="19">
        <v>28000</v>
      </c>
      <c r="G26" s="19">
        <f>IF(OR(E26="",F26=""),"",E26*F26)</f>
      </c>
      <c r="H26" s="4" t="s">
        <v>331</v>
      </c>
    </row>
    <row r="27" ht="46" customHeight="1" spans="1:8" x14ac:dyDescent="0.25">
      <c r="A27" s="20" t="s">
        <v>1364</v>
      </c>
      <c r="B27" s="21" t="s">
        <v>1365</v>
      </c>
      <c r="C27" s="21" t="s">
        <v>1327</v>
      </c>
      <c r="D27" s="22" t="s">
        <v>285</v>
      </c>
      <c r="E27" s="19">
        <v>1</v>
      </c>
      <c r="F27" s="19">
        <v>32000</v>
      </c>
      <c r="G27" s="19">
        <f>IF(OR(E27="",F27=""),"",E27*F27)</f>
      </c>
      <c r="H27" s="21" t="s">
        <v>331</v>
      </c>
    </row>
    <row r="28" ht="46" customHeight="1" spans="1:8" x14ac:dyDescent="0.25">
      <c r="A28" s="18" t="s">
        <v>1366</v>
      </c>
      <c r="B28" s="4" t="s">
        <v>1367</v>
      </c>
      <c r="C28" s="4" t="s">
        <v>1327</v>
      </c>
      <c r="D28" s="7" t="s">
        <v>285</v>
      </c>
      <c r="E28" s="19">
        <v>1</v>
      </c>
      <c r="F28" s="19">
        <v>12000</v>
      </c>
      <c r="G28" s="19">
        <f>IF(OR(E28="",F28=""),"",E28*F28)</f>
      </c>
      <c r="H28" s="4" t="s">
        <v>331</v>
      </c>
    </row>
    <row r="29" ht="46" customHeight="1" spans="1:8" x14ac:dyDescent="0.25">
      <c r="A29" s="20" t="s">
        <v>1368</v>
      </c>
      <c r="B29" s="21" t="s">
        <v>1369</v>
      </c>
      <c r="C29" s="21" t="s">
        <v>1327</v>
      </c>
      <c r="D29" s="22" t="s">
        <v>285</v>
      </c>
      <c r="E29" s="19">
        <v>1</v>
      </c>
      <c r="F29" s="19">
        <v>22000</v>
      </c>
      <c r="G29" s="19">
        <f>IF(OR(E29="",F29=""),"",E29*F29)</f>
      </c>
      <c r="H29" s="21" t="s">
        <v>331</v>
      </c>
    </row>
    <row r="30" ht="46" customHeight="1" spans="1:8" x14ac:dyDescent="0.25">
      <c r="A30" s="18" t="s">
        <v>1370</v>
      </c>
      <c r="B30" s="4" t="s">
        <v>1371</v>
      </c>
      <c r="C30" s="4" t="s">
        <v>1327</v>
      </c>
      <c r="D30" s="7" t="s">
        <v>285</v>
      </c>
      <c r="E30" s="19">
        <v>1</v>
      </c>
      <c r="F30" s="19">
        <v>8500</v>
      </c>
      <c r="G30" s="19">
        <f>IF(OR(E30="",F30=""),"",E30*F30)</f>
      </c>
      <c r="H30" s="4" t="s">
        <v>331</v>
      </c>
    </row>
    <row r="31" ht="32" customHeight="1" spans="1:8" x14ac:dyDescent="0.25">
      <c r="A31" s="20" t="s">
        <v>1372</v>
      </c>
      <c r="B31" s="21" t="s">
        <v>1373</v>
      </c>
      <c r="C31" s="21" t="s">
        <v>1327</v>
      </c>
      <c r="D31" s="22" t="s">
        <v>285</v>
      </c>
      <c r="E31" s="19">
        <v>1</v>
      </c>
      <c r="F31" s="19">
        <v>4500</v>
      </c>
      <c r="G31" s="19">
        <f>IF(OR(E31="",F31=""),"",E31*F31)</f>
      </c>
      <c r="H31" s="21" t="s">
        <v>331</v>
      </c>
    </row>
    <row r="32" ht="19.5" customHeight="1" spans="1:8" x14ac:dyDescent="0.25">
      <c r="A32" s="23" t="s">
        <v>1374</v>
      </c>
      <c r="B32"/>
      <c r="C32"/>
      <c r="D32"/>
      <c r="E32"/>
      <c r="F32"/>
      <c r="G32" s="24">
        <f>SUM(G22:G32)</f>
      </c>
      <c r="H32" s="23" t="s">
        <v>296</v>
      </c>
    </row>
    <row r="33" spans="1:1" x14ac:dyDescent="0.25"/>
    <row r="34" spans="1:1" x14ac:dyDescent="0.25"/>
    <row r="35" ht="24" customHeight="1" spans="1:8" x14ac:dyDescent="0.25">
      <c r="A35" s="25" t="s">
        <v>1375</v>
      </c>
      <c r="B35"/>
      <c r="C35"/>
      <c r="D35"/>
      <c r="E35"/>
      <c r="F35"/>
      <c r="G35" s="26">
        <f>SUMIF(G4:G33,"&lt;&gt;")</f>
      </c>
      <c r="H35" s="25" t="s">
        <v>296</v>
      </c>
    </row>
  </sheetData>
  <mergeCells count="9">
    <mergeCell ref="A1:H1"/>
    <mergeCell ref="A2:H2"/>
    <mergeCell ref="A4:H4"/>
    <mergeCell ref="A10:F10"/>
    <mergeCell ref="A12:H12"/>
    <mergeCell ref="A19:F19"/>
    <mergeCell ref="A21:H21"/>
    <mergeCell ref="A32:F32"/>
    <mergeCell ref="A35:F35"/>
  </mergeCells>
  <printOptions horizontalCentered="1"/>
  <pageMargins left="0.4" right="0.4" top="0.5" bottom="0.5" header="0.3" footer="0.3"/>
  <pageSetup paperSize="9" orientation="portrait" fitToWidth="1" fitToHeight="0"/>
  <headerFooter>
    <oddHeader>&amp;L&amp;"Arial,Bold"&amp;12Proposed B+G+8+R Commercial &amp; Residential Building&amp;R&amp;"Arial,Italic"&amp;10Job FA_P379 / CRs B/010/25</oddHeader>
    <oddFooter>&amp;LBill 13 — TESTING, COMMISSIONING &amp; DEWA APPROVAL&amp;RPage &amp;P of &amp;N</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34"/>
  <sheetViews>
    <sheetView workbookViewId="0">
      <pane ySplit="4" topLeftCell="A5" activePane="bottomLeft" state="frozen"/>
      <selection pane="bottomLeft" activeCell="A5" sqref="A5"/>
    </sheetView>
  </sheetViews>
  <sheetFormatPr defaultRowHeight="15" outlineLevelRow="0" outlineLevelCol="0" x14ac:dyDescent="55"/>
  <cols>
    <col min="1" max="1" width="8" customWidth="1"/>
    <col min="2" max="2" width="56" customWidth="1"/>
    <col min="3" max="3" width="14" customWidth="1"/>
    <col min="4" max="4" width="22" customWidth="1"/>
    <col min="5" max="5" width="35" customWidth="1"/>
    <col min="6" max="6" width="5" customWidth="1"/>
  </cols>
  <sheetData>
    <row r="1" ht="27.75" customHeight="1" spans="1:5" x14ac:dyDescent="0.25">
      <c r="A1" s="1" t="s">
        <v>1376</v>
      </c>
      <c r="B1"/>
      <c r="C1"/>
      <c r="D1"/>
      <c r="E1"/>
    </row>
    <row r="2" ht="18" customHeight="1" spans="1:5" x14ac:dyDescent="0.25">
      <c r="A2" s="28" t="s">
        <v>1377</v>
      </c>
      <c r="B2"/>
      <c r="C2"/>
      <c r="D2"/>
      <c r="E2"/>
    </row>
    <row r="3" spans="1:9" x14ac:dyDescent="0.25"/>
    <row r="4" ht="27.75" customHeight="1" spans="1:5" x14ac:dyDescent="0.25">
      <c r="A4" s="6" t="s">
        <v>40</v>
      </c>
      <c r="B4" s="6" t="s">
        <v>41</v>
      </c>
      <c r="C4" s="6" t="s">
        <v>1378</v>
      </c>
      <c r="D4" s="6" t="s">
        <v>1379</v>
      </c>
      <c r="E4" s="6" t="s">
        <v>85</v>
      </c>
    </row>
    <row r="5" spans="1:5" x14ac:dyDescent="0.25">
      <c r="A5" s="4">
        <v>1</v>
      </c>
      <c r="B5" s="4" t="s">
        <v>43</v>
      </c>
      <c r="C5" s="4" t="s">
        <v>44</v>
      </c>
      <c r="D5" s="4">
        <f>'Bill 1 - Preliminaries'!G43</f>
        <v>0</v>
      </c>
      <c r="E5" s="4" t="s">
        <v>1380</v>
      </c>
    </row>
    <row r="6" spans="1:5" x14ac:dyDescent="0.25">
      <c r="A6" s="21">
        <v>2</v>
      </c>
      <c r="B6" s="21" t="s">
        <v>1381</v>
      </c>
      <c r="C6" s="21" t="s">
        <v>46</v>
      </c>
      <c r="D6" s="21">
        <f>'Bill 2 - HV-LV Main'!G20</f>
        <v>0</v>
      </c>
      <c r="E6" s="21" t="s">
        <v>1382</v>
      </c>
    </row>
    <row r="7" spans="1:5" x14ac:dyDescent="0.25">
      <c r="A7" s="4">
        <v>3</v>
      </c>
      <c r="B7" s="4" t="s">
        <v>1383</v>
      </c>
      <c r="C7" s="4" t="s">
        <v>48</v>
      </c>
      <c r="D7" s="4">
        <f>'Bill 3 - SMDBs'!G83</f>
        <v>0</v>
      </c>
      <c r="E7" s="4" t="s">
        <v>1384</v>
      </c>
    </row>
    <row r="8" spans="1:5" x14ac:dyDescent="0.25">
      <c r="A8" s="21">
        <v>4</v>
      </c>
      <c r="B8" s="21" t="s">
        <v>1385</v>
      </c>
      <c r="C8" s="21" t="s">
        <v>50</v>
      </c>
      <c r="D8" s="21">
        <f>'Bill 4 - Distribution Boards'!G64</f>
        <v>0</v>
      </c>
      <c r="E8" s="21" t="s">
        <v>1386</v>
      </c>
    </row>
    <row r="9" spans="1:5" x14ac:dyDescent="0.25">
      <c r="A9" s="4">
        <v>5</v>
      </c>
      <c r="B9" s="4" t="s">
        <v>1387</v>
      </c>
      <c r="C9" s="4" t="s">
        <v>52</v>
      </c>
      <c r="D9" s="4">
        <f>'Bill 5 - LV Cables'!H188</f>
        <v>0</v>
      </c>
      <c r="E9" s="4" t="s">
        <v>1388</v>
      </c>
    </row>
    <row r="10" spans="1:5" x14ac:dyDescent="0.25">
      <c r="A10" s="21">
        <v>6</v>
      </c>
      <c r="B10" s="21" t="s">
        <v>1389</v>
      </c>
      <c r="C10" s="21" t="s">
        <v>54</v>
      </c>
      <c r="D10" s="21">
        <f>'Bill 6 - Containment'!G16</f>
        <v>0</v>
      </c>
      <c r="E10" s="21" t="s">
        <v>1390</v>
      </c>
    </row>
    <row r="11" spans="1:5" x14ac:dyDescent="0.25">
      <c r="A11" s="4">
        <v>7</v>
      </c>
      <c r="B11" s="4" t="s">
        <v>55</v>
      </c>
      <c r="C11" s="4" t="s">
        <v>56</v>
      </c>
      <c r="D11" s="4">
        <f>'Bill 7 - Wiring Devices'!G129</f>
        <v>0</v>
      </c>
      <c r="E11" s="4" t="s">
        <v>1391</v>
      </c>
    </row>
    <row r="12" spans="1:5" x14ac:dyDescent="0.25">
      <c r="A12" s="21">
        <v>8</v>
      </c>
      <c r="B12" s="21" t="s">
        <v>1392</v>
      </c>
      <c r="C12" s="21" t="s">
        <v>58</v>
      </c>
      <c r="D12" s="21">
        <f>'Bill 8 - Lighting Fixtures'!G30</f>
        <v>0</v>
      </c>
      <c r="E12" s="21" t="s">
        <v>1393</v>
      </c>
    </row>
    <row r="13" spans="1:5" x14ac:dyDescent="0.25">
      <c r="A13" s="4">
        <v>9</v>
      </c>
      <c r="B13" s="4" t="s">
        <v>59</v>
      </c>
      <c r="C13" s="4" t="s">
        <v>60</v>
      </c>
      <c r="D13" s="4">
        <f>'Bill 9 - Earthing &amp; LP'!G26</f>
        <v>0</v>
      </c>
      <c r="E13" s="4" t="s">
        <v>1394</v>
      </c>
    </row>
    <row r="14" spans="1:5" x14ac:dyDescent="0.25">
      <c r="A14" s="21">
        <v>10</v>
      </c>
      <c r="B14" s="21" t="s">
        <v>61</v>
      </c>
      <c r="C14" s="21" t="s">
        <v>62</v>
      </c>
      <c r="D14" s="21">
        <f>'Bill 10 - Emergency Lighting'!G36</f>
        <v>0</v>
      </c>
      <c r="E14" s="21" t="s">
        <v>1395</v>
      </c>
    </row>
    <row r="15" spans="1:5" x14ac:dyDescent="0.25">
      <c r="A15" s="4">
        <v>11</v>
      </c>
      <c r="B15" s="4" t="s">
        <v>1396</v>
      </c>
      <c r="C15" s="4" t="s">
        <v>64</v>
      </c>
      <c r="D15" s="4">
        <f>'Bill 11 - ELV Containment'!G16</f>
        <v>0</v>
      </c>
      <c r="E15" s="4" t="s">
        <v>1397</v>
      </c>
    </row>
    <row r="16" spans="1:5" x14ac:dyDescent="0.25">
      <c r="A16" s="21">
        <v>12</v>
      </c>
      <c r="B16" s="21" t="s">
        <v>65</v>
      </c>
      <c r="C16" s="21" t="s">
        <v>66</v>
      </c>
      <c r="D16" s="21">
        <f>'Bill 12 - Metering'!G21</f>
        <v>0</v>
      </c>
      <c r="E16" s="21" t="s">
        <v>1398</v>
      </c>
    </row>
    <row r="17" spans="1:5" x14ac:dyDescent="0.25">
      <c r="A17" s="4">
        <v>13</v>
      </c>
      <c r="B17" s="4" t="s">
        <v>67</v>
      </c>
      <c r="C17" s="4" t="s">
        <v>68</v>
      </c>
      <c r="D17" s="4">
        <f>'Bill 13 - Test &amp; Commissioning'!G35</f>
        <v>0</v>
      </c>
      <c r="E17" s="4" t="s">
        <v>1399</v>
      </c>
    </row>
    <row r="18" spans="1:5" x14ac:dyDescent="0.25">
      <c r="A18" s="23" t="s">
        <v>1400</v>
      </c>
      <c r="B18"/>
      <c r="C18"/>
      <c r="D18" s="29">
        <f>SUM(D5:D17)</f>
        <v>0</v>
      </c>
      <c r="E18" s="23" t="s">
        <v>296</v>
      </c>
    </row>
    <row r="19" spans="1:5" x14ac:dyDescent="0.25">
      <c r="A19" s="23" t="s">
        <v>1401</v>
      </c>
      <c r="B19"/>
      <c r="C19"/>
      <c r="D19" s="29">
        <v>0</v>
      </c>
      <c r="E19" s="23" t="s">
        <v>1402</v>
      </c>
    </row>
    <row r="20" spans="1:5" x14ac:dyDescent="0.25">
      <c r="A20" s="23" t="s">
        <v>1403</v>
      </c>
      <c r="B20"/>
      <c r="C20"/>
      <c r="D20" s="29">
        <v>0</v>
      </c>
      <c r="E20" s="23" t="s">
        <v>1404</v>
      </c>
    </row>
    <row r="21" spans="1:5" x14ac:dyDescent="0.25">
      <c r="A21" s="23" t="s">
        <v>1405</v>
      </c>
      <c r="B21"/>
      <c r="C21"/>
      <c r="D21" s="29">
        <f>D18*0.1</f>
        <v>0</v>
      </c>
      <c r="E21" s="23" t="s">
        <v>296</v>
      </c>
    </row>
    <row r="22" spans="1:5" x14ac:dyDescent="0.25">
      <c r="A22" s="23" t="s">
        <v>1406</v>
      </c>
      <c r="B22"/>
      <c r="C22"/>
      <c r="D22" s="29">
        <v>0</v>
      </c>
      <c r="E22" s="23" t="s">
        <v>1404</v>
      </c>
    </row>
    <row r="23" ht="24" customHeight="1" spans="1:5" x14ac:dyDescent="0.25">
      <c r="A23" s="25" t="s">
        <v>1407</v>
      </c>
      <c r="B23"/>
      <c r="C23"/>
      <c r="D23" s="30">
        <f>D18+D19+D20+D21+D22</f>
        <v>0</v>
      </c>
      <c r="E23" s="25" t="s">
        <v>296</v>
      </c>
    </row>
    <row r="24" spans="1:5" x14ac:dyDescent="0.25">
      <c r="A24" s="23" t="s">
        <v>1408</v>
      </c>
      <c r="B24"/>
      <c r="C24"/>
      <c r="D24" s="29">
        <f>D23*0.05</f>
        <v>0</v>
      </c>
      <c r="E24" s="23" t="s">
        <v>296</v>
      </c>
    </row>
    <row r="25" ht="28" customHeight="1" spans="1:5" x14ac:dyDescent="0.25">
      <c r="A25" s="25" t="s">
        <v>1409</v>
      </c>
      <c r="B25"/>
      <c r="C25"/>
      <c r="D25" s="30">
        <f>D23+D24</f>
        <v>0</v>
      </c>
      <c r="E25" s="25" t="s">
        <v>296</v>
      </c>
    </row>
    <row r="26" spans="1:1" x14ac:dyDescent="0.25"/>
    <row r="27" spans="1:5" x14ac:dyDescent="0.25">
      <c r="A27" s="5" t="s">
        <v>1410</v>
      </c>
      <c r="B27"/>
      <c r="C27"/>
      <c r="D27"/>
      <c r="E27"/>
    </row>
    <row r="28" ht="32" customHeight="1" spans="1:5" x14ac:dyDescent="0.25">
      <c r="A28" s="31" t="s">
        <v>1411</v>
      </c>
      <c r="B28"/>
      <c r="C28"/>
      <c r="D28"/>
      <c r="E28"/>
    </row>
    <row r="29" ht="18" customHeight="1" spans="1:5" x14ac:dyDescent="0.25">
      <c r="A29" s="31" t="s">
        <v>1412</v>
      </c>
      <c r="B29"/>
      <c r="C29"/>
      <c r="D29"/>
      <c r="E29"/>
    </row>
    <row r="30" ht="18" customHeight="1" spans="1:5" x14ac:dyDescent="0.25">
      <c r="A30" s="31" t="s">
        <v>1413</v>
      </c>
      <c r="B30"/>
      <c r="C30"/>
      <c r="D30"/>
      <c r="E30"/>
    </row>
    <row r="31" ht="18" customHeight="1" spans="1:5" x14ac:dyDescent="0.25">
      <c r="A31" s="31" t="s">
        <v>1414</v>
      </c>
      <c r="B31"/>
      <c r="C31"/>
      <c r="D31"/>
      <c r="E31"/>
    </row>
    <row r="32" ht="18" customHeight="1" spans="1:5" x14ac:dyDescent="0.25">
      <c r="A32" s="31" t="s">
        <v>1415</v>
      </c>
      <c r="B32"/>
      <c r="C32"/>
      <c r="D32"/>
      <c r="E32"/>
    </row>
    <row r="33" ht="18" customHeight="1" spans="1:5" x14ac:dyDescent="0.25">
      <c r="A33" s="31" t="s">
        <v>1416</v>
      </c>
      <c r="B33"/>
      <c r="C33"/>
      <c r="D33"/>
      <c r="E33"/>
    </row>
    <row r="34" ht="18" customHeight="1" spans="1:5" x14ac:dyDescent="0.25">
      <c r="A34" s="31" t="s">
        <v>1417</v>
      </c>
      <c r="B34"/>
      <c r="C34"/>
      <c r="D34"/>
      <c r="E34"/>
    </row>
  </sheetData>
  <mergeCells count="18">
    <mergeCell ref="A1:E1"/>
    <mergeCell ref="A2:E2"/>
    <mergeCell ref="A18:C18"/>
    <mergeCell ref="A19:C19"/>
    <mergeCell ref="A20:C20"/>
    <mergeCell ref="A21:C21"/>
    <mergeCell ref="A22:C22"/>
    <mergeCell ref="A23:C23"/>
    <mergeCell ref="A24:C24"/>
    <mergeCell ref="A25:C25"/>
    <mergeCell ref="A27:E27"/>
    <mergeCell ref="A28:E28"/>
    <mergeCell ref="A29:E29"/>
    <mergeCell ref="A30:E30"/>
    <mergeCell ref="A31:E31"/>
    <mergeCell ref="A32:E32"/>
    <mergeCell ref="A33:E33"/>
    <mergeCell ref="A34:E34"/>
  </mergeCells>
  <printOptions horizontalCentered="1"/>
  <pageMargins left="0.4" right="0.4" top="0.5" bottom="0.5" header="0.3" footer="0.3"/>
  <pageSetup paperSize="9" orientation="portrait" fitToWidth="1" fitToHeight="0"/>
  <headerFooter>
    <oddHeader>&amp;L&amp;"Arial,Bold"&amp;12Proposed B+G+8+R Commercial &amp; Residential Building&amp;R&amp;"Arial,Italic"&amp;10Job FA_P379 / CRs B/010/25</oddHeader>
    <oddFooter>&amp;LBoQ Summary of Bills&amp;RPage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Cover</vt:lpstr>
      <vt:lpstr>Preamble &amp; Standards</vt:lpstr>
      <vt:lpstr>Bill 1 - Preliminaries</vt:lpstr>
      <vt:lpstr>Bill 2 - HV-LV Main</vt:lpstr>
      <vt:lpstr>Bill 3 - SMDBs</vt:lpstr>
      <vt:lpstr>Bill 4 - Distribution Boards</vt:lpstr>
      <vt:lpstr>Bill 5 - LV Cables</vt:lpstr>
      <vt:lpstr>Bill 6 - Containment</vt:lpstr>
      <vt:lpstr>Bill 7 - Wiring Devices</vt:lpstr>
      <vt:lpstr>Bill 8 - Lighting Fixtures</vt:lpstr>
      <vt:lpstr>Bill 9 - Earthing &amp; LP</vt:lpstr>
      <vt:lpstr>Bill 10 - Emergency Lighting</vt:lpstr>
      <vt:lpstr>Bill 11 - ELV Containment</vt:lpstr>
      <vt:lpstr>Bill 12 - Metering</vt:lpstr>
      <vt:lpstr>Bill 13 - Test &amp; Commissioning</vt:lpstr>
      <vt:lpstr>Summary of Bills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SABI Engineering &amp; Contracting LLC</dc:creator>
  <dc:title/>
  <dc:subject/>
  <dc:description/>
  <cp:keywords/>
  <cp:category/>
  <cp:lastModifiedBy>SABI Engineering &amp; Contracting LLC</cp:lastModifiedBy>
  <dcterms:created xsi:type="dcterms:W3CDTF">2026-06-19T11:58:15Z</dcterms:created>
  <dcterms:modified xsi:type="dcterms:W3CDTF">2026-06-19T11:58:15Z</dcterms:modified>
</cp:coreProperties>
</file>