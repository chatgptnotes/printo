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Preamble &amp; Standards" state="visible" r:id="rId5"/>
    <sheet sheetId="3" name="Bill 1 - Preliminaries" state="visible" r:id="rId6"/>
    <sheet sheetId="4" name="Bill 2 - HV-LV Main" state="visible" r:id="rId7"/>
    <sheet sheetId="5" name="Bill 3 - SMDBs" state="visible" r:id="rId8"/>
    <sheet sheetId="6" name="Bill 4 - Distribution Boards" state="visible" r:id="rId9"/>
    <sheet sheetId="7" name="Bill 5 - LV Cables" state="visible" r:id="rId10"/>
    <sheet sheetId="8" name="Bill 6 - Containment" state="visible" r:id="rId11"/>
    <sheet sheetId="9" name="Bill 7 - Wiring Devices" state="visible" r:id="rId12"/>
    <sheet sheetId="10" name="Bill 8 - Lighting Fixtures" state="visible" r:id="rId13"/>
    <sheet sheetId="11" name="Bill 9 - Earthing &amp; LP" state="visible" r:id="rId14"/>
    <sheet sheetId="12" name="Bill 10 - Emergency Lighting" state="visible" r:id="rId15"/>
    <sheet sheetId="13" name="Bill 11 - ELV Containment" state="visible" r:id="rId16"/>
    <sheet sheetId="14" name="Bill 12 - Metering" state="visible" r:id="rId17"/>
    <sheet sheetId="15" name="Bill 13 - Test &amp; Commissioning" state="visible" r:id="rId18"/>
    <sheet sheetId="16" name="Summary of Bills" state="visible" r:id="rId19"/>
  </sheets>
  <definedNames>
    <definedName name="_xlnm.Print_Titles" localSheetId="2">'Bill 1 - Preliminaries'!$1:$3</definedName>
    <definedName name="_xlnm.Print_Titles" localSheetId="3">'Bill 2 - HV-LV Main'!$1:$3</definedName>
    <definedName name="_xlnm.Print_Titles" localSheetId="4">'Bill 3 - SMDBs'!$1:$3</definedName>
    <definedName name="_xlnm.Print_Titles" localSheetId="5">'Bill 4 - Distribution Boards'!$1:$3</definedName>
    <definedName name="_xlnm.Print_Titles" localSheetId="6">'Bill 5 - LV Cables'!$1:$3</definedName>
    <definedName name="_xlnm.Print_Titles" localSheetId="7">'Bill 6 - Containment'!$1:$3</definedName>
    <definedName name="_xlnm.Print_Titles" localSheetId="8">'Bill 7 - Wiring Devices'!$1:$3</definedName>
    <definedName name="_xlnm.Print_Titles" localSheetId="9">'Bill 8 - Lighting Fixtures'!$1:$3</definedName>
    <definedName name="_xlnm.Print_Titles" localSheetId="10">'Bill 9 - Earthing &amp; LP'!$1:$3</definedName>
    <definedName name="_xlnm.Print_Titles" localSheetId="11">'Bill 10 - Emergency Lighting'!$1:$3</definedName>
    <definedName name="_xlnm.Print_Titles" localSheetId="12">'Bill 11 - ELV Containment'!$1:$3</definedName>
    <definedName name="_xlnm.Print_Titles" localSheetId="13">'Bill 12 - Metering'!$1:$3</definedName>
    <definedName name="_xlnm.Print_Titles" localSheetId="14">'Bill 13 - Test &amp; Commissioning'!$1:$3</definedName>
  </definedNames>
  <calcPr calcId="171027" fullCalcOnLoad="1"/>
</workbook>
</file>

<file path=xl/sharedStrings.xml><?xml version="1.0" encoding="utf-8"?>
<sst xmlns="http://schemas.openxmlformats.org/spreadsheetml/2006/main" count="1416" uniqueCount="786">
  <si>
    <t>BILL OF QUANTITIES</t>
  </si>
  <si>
    <t>ELECTRICAL POWER DISTRIBUTION WORKS — DEWA AUTHORITY</t>
  </si>
  <si>
    <t>Project</t>
  </si>
  <si>
    <t>Proposed B+G+8+R Commercial &amp; Residential Building</t>
  </si>
  <si>
    <t>Owner / Client</t>
  </si>
  <si>
    <t>Qutaiba Ameen Abdal Kija</t>
  </si>
  <si>
    <t>Plot No.</t>
  </si>
  <si>
    <t>6731315 — Al Barsha South Third, Dubai, UAE</t>
  </si>
  <si>
    <t>Architect</t>
  </si>
  <si>
    <t>Engr. Samer Mahmoud Ajami (Reg. 105181)</t>
  </si>
  <si>
    <t>Structural</t>
  </si>
  <si>
    <t>Engr. Mohamad Maher Myaser Jabban (Reg. 101079)</t>
  </si>
  <si>
    <t>MEP Consultant</t>
  </si>
  <si>
    <t>Future Art Engineering Consultancy</t>
  </si>
  <si>
    <t>Authority</t>
  </si>
  <si>
    <t>DEWA (Dubai Electricity &amp; Water Authority)</t>
  </si>
  <si>
    <t>TENDER DETAILS</t>
  </si>
  <si>
    <t>Job No.</t>
  </si>
  <si>
    <t>FA_P379 / CRs B/010/25</t>
  </si>
  <si>
    <t>Drawing Ref</t>
  </si>
  <si>
    <t>P-001 … P-300 (14 sheets, Power Layout)</t>
  </si>
  <si>
    <t>Drawing Date</t>
  </si>
  <si>
    <t>16.01.2026</t>
  </si>
  <si>
    <t>BOQ Date</t>
  </si>
  <si>
    <t>24/06/2026</t>
  </si>
  <si>
    <t>Addendum No.</t>
  </si>
  <si>
    <t>0</t>
  </si>
  <si>
    <t>BOQ Status</t>
  </si>
  <si>
    <t>PRICED (INDICATIVE) — Dubai 2026 market rates · review before submission</t>
  </si>
  <si>
    <t>Currency</t>
  </si>
  <si>
    <t>AED (UAE Dirham)</t>
  </si>
  <si>
    <t>VAT Rate</t>
  </si>
  <si>
    <t>5% (UAE Federal)</t>
  </si>
  <si>
    <t>CONTRACTOR DETAILS</t>
  </si>
  <si>
    <t>Contractor</t>
  </si>
  <si>
    <t>SABI Engineering &amp; Contracting LLC</t>
  </si>
  <si>
    <t>Address</t>
  </si>
  <si>
    <t>Dubai, United Arab Emirates</t>
  </si>
  <si>
    <t>Phone</t>
  </si>
  <si>
    <t>+971 4 XXX XXXX</t>
  </si>
  <si>
    <t>Email</t>
  </si>
  <si>
    <t>estimation@sabi.ae</t>
  </si>
  <si>
    <t>TRN</t>
  </si>
  <si>
    <t>100XXXXXXXXXXXXX</t>
  </si>
  <si>
    <t>BUILDING ELECTRICAL LOAD</t>
  </si>
  <si>
    <t>Total Connected Load (TCL)</t>
  </si>
  <si>
    <t>Demand Factor</t>
  </si>
  <si>
    <t>Maximum Demand (MD)</t>
  </si>
  <si>
    <t>LIST OF BILLS</t>
  </si>
  <si>
    <t>Bill</t>
  </si>
  <si>
    <t>Description</t>
  </si>
  <si>
    <t>Sheet</t>
  </si>
  <si>
    <t>General Items / Preliminaries</t>
  </si>
  <si>
    <t>Bill 1</t>
  </si>
  <si>
    <t>HV / LV Main Distribution (Transformer, MDB, Generator, ATS, Capacitors)</t>
  </si>
  <si>
    <t>Bill 2</t>
  </si>
  <si>
    <t>Sub-Main Distribution Boards (SMDBs)</t>
  </si>
  <si>
    <t>Bill 3</t>
  </si>
  <si>
    <t>Distribution Boards (DBs) &amp; Consumer Units</t>
  </si>
  <si>
    <t>Bill 4</t>
  </si>
  <si>
    <t>LV Power Cables (Main + Distribution + Final Circuits)</t>
  </si>
  <si>
    <t>Bill 5</t>
  </si>
  <si>
    <t>Cable Containment (Tray, Ladder, Trunking, Conduit)</t>
  </si>
  <si>
    <t>Bill 6</t>
  </si>
  <si>
    <t>Wiring Devices &amp; Accessories</t>
  </si>
  <si>
    <t>Bill 7</t>
  </si>
  <si>
    <t>Lighting Fixtures (Internal + External)</t>
  </si>
  <si>
    <t>Bill 8</t>
  </si>
  <si>
    <t>Earthing &amp; Lightning Protection</t>
  </si>
  <si>
    <t>Bill 9</t>
  </si>
  <si>
    <t>Emergency Lighting &amp; Life Safety</t>
  </si>
  <si>
    <t>Bill 10</t>
  </si>
  <si>
    <t>ELV Containment (Telephone, Data, CCTV, ACS, MATV, FA)</t>
  </si>
  <si>
    <t>Bill 11</t>
  </si>
  <si>
    <t>Metering &amp; Monitoring</t>
  </si>
  <si>
    <t>Bill 12</t>
  </si>
  <si>
    <t>Testing, Commissioning &amp; DEWA Approval</t>
  </si>
  <si>
    <t>Bill 13</t>
  </si>
  <si>
    <t>RECONCILIATION NOTES — corrections applied vs source data</t>
  </si>
  <si>
    <t>• LVP-01 → SMDB-1F…8F risers sized at 4C × 150mm² (PDF wins; XLSX source had 300mm², which is oversized for the 256 A load).</t>
  </si>
  <si>
    <t>• Fire-pump feeder sized at 1×4C 185mm² FR + 1C 95mm² ECC (PDF wins; XLSX source had 2×4C 300mm² FR, which is oversized for 167 A start).</t>
  </si>
  <si>
    <t>• ESMDB-G feeder sized at 4C × 300mm² FR (XLSX wins; PDF source had a 70mm² value in section 4 vs 300mm² in section 8.7 — 70mm² is undersized by ~3× for the 338 A load).</t>
  </si>
  <si>
    <t>• Building totals on Cover: TCL 2117.06 kW · MD ~1597 kW · DF 0.75 (mandatory for quotation per comparison verdict).</t>
  </si>
  <si>
    <t>• Rate column F populated with INDICATIVE Dubai 2026 market rates (see scripts/lib/dubai-2026-rates.mjs). Review every line and adjust to actual supplier quotations before tender submission.</t>
  </si>
  <si>
    <t>COMPLIANCE SUMMARY — what this BOQ already covers</t>
  </si>
  <si>
    <t>✓  DEWA Distribution Standards · Dubai Municipality (DM) · Dubai Civil Defence (DCD) — see Preamble Sheet § 0 Statutory Compliance</t>
  </si>
  <si>
    <t>✓  DEWA Smart Metering programme — Bill 12 (smart kWh meters single + three-phase, AMI-ready, MDM integration, Shams Dubai bi-directional, IEC 62052/62053)</t>
  </si>
  <si>
    <t>✓  UAE Federal VAT (5 %) — line on Summary of Bills sheet, computed via Excel formula on the pre-VAT total</t>
  </si>
  <si>
    <t>✓  Authority Fees &amp; NOCs — Bill 1.5 (DEWA connection / load-letter / energising · RTA road permit · DM completion fee · DCD NOC fee)</t>
  </si>
  <si>
    <t>✓  Central Battery System (CBS) — Bill 10.3 as alternative to self-contained luminaires; Fire Alarm / MEP integration — Bill 10.4 (shunt-trips, lift recall, dampers, mag-locks)</t>
  </si>
  <si>
    <t>✓  All ~280 priceable line items pre-priced with INDICATIVE Dubai 2026 rates — review each line against actual supplier quotation before submission</t>
  </si>
  <si>
    <t>✓  Origin / Brand column (H) pre-populated with Dubai AVL bands (Schneider/ABB/Siemens, Ducab/NCC, Itron/L+G, etc.) — overwrite with selected make at tender time</t>
  </si>
  <si>
    <t>✓  Drawing references (column C) mapped to specific P-001 … P-300 sheet numbers per item type (SLD / floor plan / LV-room / cable-tray detail)</t>
  </si>
  <si>
    <t>✓  Engineering corrections from PDF_vs_XLSX_Comparison.pdf applied: LVP-01 risers 150mm² · fire pump 185mm² FR · ESMDB-G 300mm² FR · building totals on Cover</t>
  </si>
  <si>
    <t>DATA PROVENANCE — measured from project drawings vs industry allowance</t>
  </si>
  <si>
    <t>📐  MEASURED</t>
  </si>
  <si>
    <t>derived from project drawings (P-001 … P-300) via the AI extraction — quantities and counts are project-specific</t>
  </si>
  <si>
    <t>📋  ALLOWANCE</t>
  </si>
  <si>
    <t>industry-standard template / fixture default — quantities are allowances based on building size, NOT counted from drawings — review before submission</t>
  </si>
  <si>
    <t>Source</t>
  </si>
  <si>
    <t>Notes</t>
  </si>
  <si>
    <t>Preliminaries + Authority Fees</t>
  </si>
  <si>
    <t>📋 ALLOWANCE</t>
  </si>
  <si>
    <t>Industry allowance (mob, insurance, submittals, DEWA/RTA/DM/DCD fees)</t>
  </si>
  <si>
    <t>Bill 2.1</t>
  </si>
  <si>
    <t>HV side (transformer / RMU / room civil)</t>
  </si>
  <si>
    <t>Industry template — transformer kVA sized from MD only</t>
  </si>
  <si>
    <t>Bill 2.2</t>
  </si>
  <si>
    <t>LV panels (LVP-01, LVP-02)</t>
  </si>
  <si>
    <t>📐 MEASURED</t>
  </si>
  <si>
    <t>From P-200 SLD — ACB ratings, MCCB schedules, capacitor banks</t>
  </si>
  <si>
    <t>Bill 2.3</t>
  </si>
  <si>
    <t>Generator + ATS</t>
  </si>
  <si>
    <t>From P-200 SLD — kVA + ATS rating</t>
  </si>
  <si>
    <t>Sub-Main Distribution Boards (26)</t>
  </si>
  <si>
    <t>From P-201 SLD — every SMDB tag, rating, floor, connected load</t>
  </si>
  <si>
    <t>Distribution Boards (107)</t>
  </si>
  <si>
    <t>From P-103…P-108 floor plans + P-201 SLD — DB groups, counts</t>
  </si>
  <si>
    <t>Bill 5.1</t>
  </si>
  <si>
    <t>XLPE LV→SMDB risers</t>
  </si>
  <si>
    <t>From cable_schedule — every run, size, length per AI extraction</t>
  </si>
  <si>
    <t>Bill 5.2</t>
  </si>
  <si>
    <t>Fire-Rated LV→SMDB</t>
  </si>
  <si>
    <t>From cable_schedule — with engineering corrections applied</t>
  </si>
  <si>
    <t>Bill 5.3</t>
  </si>
  <si>
    <t>XLPE SMDB→DB distribution</t>
  </si>
  <si>
    <t>From smdb_to_db_cables / cable_schedule (non-LV-source filter)</t>
  </si>
  <si>
    <t>Bill 5.4</t>
  </si>
  <si>
    <t>FR SMDB→DB distribution</t>
  </si>
  <si>
    <t>From smdb_to_db_cables / cable_schedule</t>
  </si>
  <si>
    <t>Bill 5.5</t>
  </si>
  <si>
    <t>LSZH escape-route final circuits</t>
  </si>
  <si>
    <t>Industry allowance — quantities by floor count × typical loop</t>
  </si>
  <si>
    <t>Bill 5.6</t>
  </si>
  <si>
    <t>Final-circuit bulk wiring</t>
  </si>
  <si>
    <t>Industry allowance — by sqft / DB count</t>
  </si>
  <si>
    <t>Bill 5.7</t>
  </si>
  <si>
    <t>ECC alongside risers</t>
  </si>
  <si>
    <t>Allowance — derived as % of main-cable total length</t>
  </si>
  <si>
    <t>Cable containment</t>
  </si>
  <si>
    <t>Industry allowance — tray / ladder / conduit lengths by sqft</t>
  </si>
  <si>
    <t>Wiring devices &amp; accessories</t>
  </si>
  <si>
    <t>Industry template — sockets / switches / outlets per typical floor count</t>
  </si>
  <si>
    <t>Lighting fixtures</t>
  </si>
  <si>
    <t>Industry template — internal + external + controls</t>
  </si>
  <si>
    <t>Industry allowance — TN-S system + LP per IEC 62305</t>
  </si>
  <si>
    <t>Bill 10.1</t>
  </si>
  <si>
    <t>Self-contained emergency luminaires</t>
  </si>
  <si>
    <t>Industry allowance — by floor count + escape route length</t>
  </si>
  <si>
    <t>Bill 10.2</t>
  </si>
  <si>
    <t>Life-safety power feeders</t>
  </si>
  <si>
    <t>Industry allowance — fire pump / smoke / pressurisation</t>
  </si>
  <si>
    <t>Bill 10.3</t>
  </si>
  <si>
    <t>Central Battery System (CBS)</t>
  </si>
  <si>
    <t>Industry option — provisional sum, sized to total emergency luminaire load</t>
  </si>
  <si>
    <t>Bill 10.4</t>
  </si>
  <si>
    <t>Fire Alarm / MEP integration</t>
  </si>
  <si>
    <t>DCD requirement — shunt-trips, lift recall, dampers (specialist coord)</t>
  </si>
  <si>
    <t>ELV containment</t>
  </si>
  <si>
    <t>Industry allowance — specialist trades (FA / BMS / CCTV / ACS / MATV)</t>
  </si>
  <si>
    <t>Smart metering</t>
  </si>
  <si>
    <t>DEWA Smart Grid programme — meter counts per tenant + landlord schedule</t>
  </si>
  <si>
    <t>Testing, Commissioning &amp; Authority</t>
  </si>
  <si>
    <t>Industry allowance — IR / continuity / ELI / RCD + DEWA + DM + DCD</t>
  </si>
  <si>
    <t>STATUS: PRICED (INDICATIVE) — Dubai 2026 market rates · review before submission</t>
  </si>
  <si>
    <t>PREAMBLE &amp; APPLICABLE STANDARDS</t>
  </si>
  <si>
    <t>0. STATUTORY COMPLIANCE — UAE / DUBAI AUTHORITIES</t>
  </si>
  <si>
    <t>The works under this BOQ shall fully comply with the requirements of the following Dubai and UAE authorities. The contractor shall obtain all approvals, attend witnessed inspections, and submit all documentation required by each authority as part of the contract.</t>
  </si>
  <si>
    <t>Scope of compliance</t>
  </si>
  <si>
    <t>DEWA</t>
  </si>
  <si>
    <t>Dubai Electricity &amp; Water Authority — Distribution Standards, Service Connection Specifications, Smart Grid / Smart Metering programme, witnessed inspections, energising, meter sealing, As-Built filing.</t>
  </si>
  <si>
    <t>Dubai Municipality</t>
  </si>
  <si>
    <t>Building Code, Local Order 89/1994 (Building Regulations) and amendments, electrical safety inspections, occupancy / completion certificate clearance.</t>
  </si>
  <si>
    <t>DCD</t>
  </si>
  <si>
    <t>Dubai Civil Defence — UAE Fire &amp; Life Safety Code of Practice (latest edition); fire-rated containment, FR/LSZH cable selection, emergency lighting, fire-fighter's lift, smoke-control fan power supplies.</t>
  </si>
  <si>
    <t>UAE Federal</t>
  </si>
  <si>
    <t>Federal Tax Authority — VAT (5%) per UAE VAT Law (Federal Decree-Law No. 8 of 2017); MoCCAE / ESMA conformity certificates for electrical equipment placed on UAE market.</t>
  </si>
  <si>
    <t>1. SCOPE OF WORKS</t>
  </si>
  <si>
    <t>Supply, installation, testing and commissioning of the complete LV electrical distribution system, lighting, small power, earthing &amp; lightning protection, metering and life-safety related electrical installations for the project, in accordance with the tender drawings, specifications, applicable standards, and authority requirements (DEWA, Dubai Municipality, Dubai Civil Defence). The scope shall include all materials, labour, plant, supervision, transport, scaffolding, builder's work in connection, testing instruments, commissioning, As-Built drawings and O&amp;M manuals.</t>
  </si>
  <si>
    <t>2. APPLICABLE STANDARDS</t>
  </si>
  <si>
    <t>Standard</t>
  </si>
  <si>
    <t>Distribution Standards &amp; Authority Regulations (latest edition)</t>
  </si>
  <si>
    <t>DEWA Smart Grid</t>
  </si>
  <si>
    <t>Smart Metering Programme / AMI Specifications / Shams Dubai</t>
  </si>
  <si>
    <t>DM</t>
  </si>
  <si>
    <t>Dubai Municipality Building Code &amp; Electrical Inspection Standards</t>
  </si>
  <si>
    <t>DM Local Order</t>
  </si>
  <si>
    <t>Local Order 89/1994 — Building Regulations and amendments</t>
  </si>
  <si>
    <t>Dubai Civil Defence — UAE Fire &amp; Life Safety Code of Practice (latest)</t>
  </si>
  <si>
    <t>BS 7671</t>
  </si>
  <si>
    <t>IEE Wiring Regulations (18th Edition / latest)</t>
  </si>
  <si>
    <t>IEC 60364</t>
  </si>
  <si>
    <t>Low-voltage electrical installations</t>
  </si>
  <si>
    <t>IEC 60439</t>
  </si>
  <si>
    <t>LV switchgear and controlgear assemblies (Form separation)</t>
  </si>
  <si>
    <t>IEC 60947</t>
  </si>
  <si>
    <t>LV switchgear (ACBs, MCCBs, contactors)</t>
  </si>
  <si>
    <t>IEC 60331</t>
  </si>
  <si>
    <t>Fire-resisting characteristics of electric cables</t>
  </si>
  <si>
    <t>BS 6387 CWZ</t>
  </si>
  <si>
    <t>Performance requirements for fire-rated cables</t>
  </si>
  <si>
    <t>BS 7211</t>
  </si>
  <si>
    <t>LSZH (Low Smoke Zero Halogen) cable performance</t>
  </si>
  <si>
    <t>IEC 60332-3</t>
  </si>
  <si>
    <t>Cable flame-propagation test (Cat A/B/C)</t>
  </si>
  <si>
    <t>IEC 61034 / 60754</t>
  </si>
  <si>
    <t>Smoke density / halogen-acid gas emission tests for LSZH cables</t>
  </si>
  <si>
    <t>BS 4444</t>
  </si>
  <si>
    <t>Earth electrode resistance test method</t>
  </si>
  <si>
    <t>IEC 62305</t>
  </si>
  <si>
    <t>Lightning protection systems</t>
  </si>
  <si>
    <t>IEC 62052/62053</t>
  </si>
  <si>
    <t>Electricity metering equipment — general requirements</t>
  </si>
  <si>
    <t>Dubai GBR</t>
  </si>
  <si>
    <t>Dubai Green Building Regulations &amp; Specifications</t>
  </si>
  <si>
    <t>UAE FTA</t>
  </si>
  <si>
    <t>Federal Tax Authority — VAT (5%) on tender total per Federal Decree-Law 8/2017</t>
  </si>
  <si>
    <t>3. ABBREVIATIONS</t>
  </si>
  <si>
    <t>Abbr.</t>
  </si>
  <si>
    <t>Meaning</t>
  </si>
  <si>
    <t>ACB</t>
  </si>
  <si>
    <t>Air Circuit Breaker</t>
  </si>
  <si>
    <t>MCCB</t>
  </si>
  <si>
    <t>Moulded Case Circuit Breaker</t>
  </si>
  <si>
    <t>MCB</t>
  </si>
  <si>
    <t>Miniature Circuit Breaker</t>
  </si>
  <si>
    <t>RCD</t>
  </si>
  <si>
    <t>Residual Current Device</t>
  </si>
  <si>
    <t>LVP</t>
  </si>
  <si>
    <t>LV Panel (Main)</t>
  </si>
  <si>
    <t>SMDB</t>
  </si>
  <si>
    <t>Sub-Main Distribution Board</t>
  </si>
  <si>
    <t>ESMDB</t>
  </si>
  <si>
    <t>Emergency SMDB</t>
  </si>
  <si>
    <t>DB</t>
  </si>
  <si>
    <t>Distribution Board</t>
  </si>
  <si>
    <t>EDB</t>
  </si>
  <si>
    <t>Emergency DB</t>
  </si>
  <si>
    <t>ATS</t>
  </si>
  <si>
    <t>Automatic Transfer Switch</t>
  </si>
  <si>
    <t>XLPE</t>
  </si>
  <si>
    <t>Cross-Linked Polyethylene</t>
  </si>
  <si>
    <t>SWA</t>
  </si>
  <si>
    <t>Steel Wire Armoured</t>
  </si>
  <si>
    <t>FR</t>
  </si>
  <si>
    <t>Fire Rated (BS6387 CWZ)</t>
  </si>
  <si>
    <t>ECC</t>
  </si>
  <si>
    <t>Earth Continuity Conductor</t>
  </si>
  <si>
    <t>MEB</t>
  </si>
  <si>
    <t>Main Earth Bar</t>
  </si>
  <si>
    <t>LP</t>
  </si>
  <si>
    <t>Lightning Protection</t>
  </si>
  <si>
    <t>T&amp;C</t>
  </si>
  <si>
    <t>Testing &amp; Commissioning</t>
  </si>
  <si>
    <t>SLD</t>
  </si>
  <si>
    <t>Single Line Diagram</t>
  </si>
  <si>
    <t>TCL</t>
  </si>
  <si>
    <t>Total Connected Load</t>
  </si>
  <si>
    <t>MD</t>
  </si>
  <si>
    <t>Maximum Demand</t>
  </si>
  <si>
    <t>DF</t>
  </si>
  <si>
    <t>PF</t>
  </si>
  <si>
    <t>Power Factor</t>
  </si>
  <si>
    <t>kVA</t>
  </si>
  <si>
    <t>Kilo-Volt-Ampere</t>
  </si>
  <si>
    <t>kW</t>
  </si>
  <si>
    <t>Kilo-Watt</t>
  </si>
  <si>
    <t>kVAR</t>
  </si>
  <si>
    <t>Kilo-Volt-Ampere Reactive</t>
  </si>
  <si>
    <t>IP55/IP65</t>
  </si>
  <si>
    <t>Ingress Protection ratings</t>
  </si>
  <si>
    <t>4. PRICING NOTES</t>
  </si>
  <si>
    <t>(1)</t>
  </si>
  <si>
    <t>All rates shall include supply, delivery, off-loading, storage, installation, fixings, support steelwork, painting, identification labelling, testing, commissioning, and handover.</t>
  </si>
  <si>
    <t>(2)</t>
  </si>
  <si>
    <t>All quantities are estimated from tender drawings; the contractor shall verify on site before procurement. No claim for variation will be entertained for take-off discrepancies within ±5% of the BOQ quantity.</t>
  </si>
  <si>
    <t>(3)</t>
  </si>
  <si>
    <t>Cable lengths include +10% installation allowance (vertical rise + horizontal route + termination + slack).</t>
  </si>
  <si>
    <t>(4)</t>
  </si>
  <si>
    <t>Where a "lot" or "item" unit is used, the rate shall cover the complete scope described in that item including all incidentals.</t>
  </si>
  <si>
    <t>(5)</t>
  </si>
  <si>
    <t>Provisional sums (PS) are net rates; the contractor shall add a percentage for overheads, profit, and attendance separately at the foot of each Bill where applicable.</t>
  </si>
  <si>
    <t>(6)</t>
  </si>
  <si>
    <t>All prices shall be in UAE Dirhams (AED), exclusive of VAT. VAT at 5% will be added at the foot of the Summary in accordance with UAE Federal Tax Authority requirements.</t>
  </si>
  <si>
    <t>(7)</t>
  </si>
  <si>
    <t>Rates shall remain firm and fixed for the duration of the contract including the Defects Liability Period unless otherwise agreed in writing.</t>
  </si>
  <si>
    <t>BILL No. 1 — GENERAL ITEMS / PRELIMINARIES</t>
  </si>
  <si>
    <t>Project: Proposed B+G+8+R Commercial &amp; Residential Building, Plot 6731315, Al Barsha South Third, Dubai, UAE  |  Job: FA_P379 / CRs B/010/25  |  Authority: DEWA (Dubai Electricity &amp; Water Authority)</t>
  </si>
  <si>
    <t>Item</t>
  </si>
  <si>
    <t>Reference</t>
  </si>
  <si>
    <t>Unit</t>
  </si>
  <si>
    <t>Qty</t>
  </si>
  <si>
    <t xml:space="preserve">Rate
(AED)</t>
  </si>
  <si>
    <t xml:space="preserve">Amount
(AED)</t>
  </si>
  <si>
    <t>Origin / Brand</t>
  </si>
  <si>
    <t>1.1 — PROJECT MOBILISATION &amp; SITE ESTABLISHMENT</t>
  </si>
  <si>
    <t>1.1.1</t>
  </si>
  <si>
    <t>Mobilisation to site, including transport of plant, tools, materials and personnel.</t>
  </si>
  <si>
    <t>—</t>
  </si>
  <si>
    <t>Sum</t>
  </si>
  <si>
    <t>📋  — (contractor selection)</t>
  </si>
  <si>
    <t>1.1.2</t>
  </si>
  <si>
    <t>Site offices, storage compounds, sanitary and welfare facilities for the duration of the works.</t>
  </si>
  <si>
    <t>1.1.3</t>
  </si>
  <si>
    <t>Site hoarding, fencing and security as per main contractor / consultant requirements.</t>
  </si>
  <si>
    <t>1.1.4</t>
  </si>
  <si>
    <t>Health &amp; Safety plan, PPE, fall-arrest and electrical safety (LOTO) provisions for the duration.</t>
  </si>
  <si>
    <t>1.1.5</t>
  </si>
  <si>
    <t>Coordination with main contractor and other MEP trades — shop-drawing review meetings, BIM coordination as required.</t>
  </si>
  <si>
    <t>Sub-Total 1.1</t>
  </si>
  <si>
    <t/>
  </si>
  <si>
    <t>1.2 — INSURANCE &amp; BONDS</t>
  </si>
  <si>
    <t>1.2.1</t>
  </si>
  <si>
    <t>Contractor's All Risks (CAR) insurance for the contract value, full duration plus DLP.</t>
  </si>
  <si>
    <t>1.2.2</t>
  </si>
  <si>
    <t>Workmen's Compensation and Public Liability insurance.</t>
  </si>
  <si>
    <t>1.2.3</t>
  </si>
  <si>
    <t>Performance bond (10% of contract value) — bank guarantee in favour of the employer.</t>
  </si>
  <si>
    <t>1.2.4</t>
  </si>
  <si>
    <t>Advance payment guarantee — bank guarantee against advance.</t>
  </si>
  <si>
    <t>Sub-Total 1.2</t>
  </si>
  <si>
    <t>1.3 — TEMPORARY UTILITIES &amp; TESTING INSTRUMENTS</t>
  </si>
  <si>
    <t>1.3.1</t>
  </si>
  <si>
    <t>Temporary power supply during construction — generator, distribution, metering, fuel.</t>
  </si>
  <si>
    <t>1.3.2</t>
  </si>
  <si>
    <t>Temporary lighting in areas of work as required for safe execution.</t>
  </si>
  <si>
    <t>1.3.3</t>
  </si>
  <si>
    <t>Provision of all testing instruments — Megger 500V/1000V, earth tester, multimeter, RCD tester, loop tester, calibration certificates current.</t>
  </si>
  <si>
    <t>Sub-Total 1.3</t>
  </si>
  <si>
    <t>1.4 — SUBMITTALS, AS-BUILTS, O&amp;M MANUALS</t>
  </si>
  <si>
    <t>1.4.1</t>
  </si>
  <si>
    <t>Shop drawings (AutoCAD) — full set, multiple revisions until approved.</t>
  </si>
  <si>
    <t>1.4.2</t>
  </si>
  <si>
    <t>Material approval submittals — datasheets, samples, manufacturer's certificates, country-of-origin declarations.</t>
  </si>
  <si>
    <t>1.4.3</t>
  </si>
  <si>
    <t>As-Built drawings (AutoCAD + PDF, 4 hard copies) at handover.</t>
  </si>
  <si>
    <t>1.4.4</t>
  </si>
  <si>
    <t>Operation &amp; Maintenance manuals (4 hard copies + PDF) at handover, including spare-parts list.</t>
  </si>
  <si>
    <t>1.4.5</t>
  </si>
  <si>
    <t>Defects Liability Period support (12 months from handover) — site attendance, replacement of defective materials, retesting.</t>
  </si>
  <si>
    <t>Sub-Total 1.4</t>
  </si>
  <si>
    <t>1.5 — AUTHORITY FEES, NOCs &amp; PERMITS</t>
  </si>
  <si>
    <t>1.5.1</t>
  </si>
  <si>
    <t>DEWA HV/LV connection capacity charges (per kVA, DEWA tariff). Provisional sum — final amount per DEWA load-letter response.</t>
  </si>
  <si>
    <t>DEWA / DM / DCD / RTA tariff</t>
  </si>
  <si>
    <t>📋  DEWA / DM / DCD / RTA</t>
  </si>
  <si>
    <t>1.5.2</t>
  </si>
  <si>
    <t>DEWA load-letter application &amp; approval fees (capacity allocation, RMU/substation siting, voltage level confirmation).</t>
  </si>
  <si>
    <t>1.5.3</t>
  </si>
  <si>
    <t>DEWA energising application fee — submission, processing, witness arrangement, meter sealing.</t>
  </si>
  <si>
    <t>1.5.4</t>
  </si>
  <si>
    <t>RTA road-cutting permit + reinstatement (where HV/LV cabling crosses public road or pavement). Provisional sum.</t>
  </si>
  <si>
    <t>1.5.5</t>
  </si>
  <si>
    <t>Dubai Municipality (DM) electrical inspection &amp; completion-certificate fee — for occupancy / completion sign-off.</t>
  </si>
  <si>
    <t>1.5.6</t>
  </si>
  <si>
    <t>Dubai Civil Defence (DCD) electrical clearance NOC fee — life-safety clearance for fire pump, smoke control, emergency lighting.</t>
  </si>
  <si>
    <t>Sub-Total 1.5</t>
  </si>
  <si>
    <t>BILL 1 — TOTAL CARRIED TO SUMMARY</t>
  </si>
  <si>
    <t>BILL No. 2 — HV / LV MAIN DISTRIBUTION</t>
  </si>
  <si>
    <t>2.1 — HV INCOMING SUPPLY &amp; TRANSFORMER (DEWA-coordinated)</t>
  </si>
  <si>
    <t>2.1.1</t>
  </si>
  <si>
    <t>DEWA HV incoming service connection (RMU / package substation, supplied &amp; installed by DEWA). Contractor allowance for coordination, application, attendance and acceptance.</t>
  </si>
  <si>
    <t>P-200 (SLD) / P-300 (LV room)</t>
  </si>
  <si>
    <t>Lot</t>
  </si>
  <si>
    <t>📋  DEWA-listed</t>
  </si>
  <si>
    <t>2.1.2</t>
  </si>
  <si>
    <t>HV / LV distribution transformer — 1000 kVA, 11kV/400V, 50 Hz, vector group Dyn11, K-Factor rating ≥ K-13 (suitable for non-linear loads — LED lighting, EV chargers, VFDs; uplift to K-20 if EV load &gt; 20 % of MD), cast-resin (dry-type) construction with encapsulated F-class windings, IP31 enclosure, anti-vibration mounts, ±2.5 % / ±5 % off-circuit tap changer, oil-free, low-loss DEWA-listed manufacturer. Per DEWA-coordinated supply (transformer by DEWA — supply line for record / contractor coordination). Includes installation, energising, witnessed routine test, commissioning report.</t>
  </si>
  <si>
    <t>Nr</t>
  </si>
  <si>
    <t>📋  Schneider / ABB / Siemens / Trafo Union</t>
  </si>
  <si>
    <t>2.1.3</t>
  </si>
  <si>
    <t>HV / LV distribution transformer — 1500 kVA, 11kV/400V, 50 Hz, vector group Dyn11, K-Factor rating ≥ K-13 (suitable for non-linear loads — LED lighting, EV chargers, VFDs; uplift to K-20 if EV load &gt; 20 % of MD), cast-resin (dry-type) construction with encapsulated F-class windings, IP31 enclosure, anti-vibration mounts, ±2.5 % / ±5 % off-circuit tap changer, oil-free, low-loss DEWA-listed manufacturer. Per DEWA-coordinated supply (transformer by DEWA — supply line for record / contractor coordination). Includes installation, energising, witnessed routine test, commissioning report.</t>
  </si>
  <si>
    <t>2.1.4</t>
  </si>
  <si>
    <t>11 kV HV cable (single-core 3×1C, XLPE/CWS/PVC, copper screen) from RMU to transformer HV side — complete with stress cones, heat-shrink terminations, fire stopping at penetrations, earthing, ID phase markers.</t>
  </si>
  <si>
    <t>m</t>
  </si>
  <si>
    <t>2.1.5</t>
  </si>
  <si>
    <t>Transformer room civil / MEP coordination — pressure-relief vents, mechanical ventilation, drainage, fire-rated enclosure (≥ 2 h), DEWA-spec oil bund where oil-filled (N/A for cast-resin) — coordination only.</t>
  </si>
  <si>
    <t>Sub-Total 2.1</t>
  </si>
  <si>
    <t>2.2 — LV PANELS (Supply, Install, Test &amp; Commission)</t>
  </si>
  <si>
    <t>2.2.1</t>
  </si>
  <si>
    <t>LVP-01: Type-tested LV switchboard (TTA / IEC 61439-1/2), 3P+N+E, 415 V, 50 Hz, floor-standing metal-clad, IP41 (front) / IP31 (rear), Form 4b separation, electro-tin-plated copper busbars rated 2500 A continuous with 50 kA Icw 1 s short-time withstand. Includes 2000A 4P main ACB drawout type, Icu ≥ 50 kA, Ics = 100 % Icu, electronic LSIG trip unit, neutral earthing link, surge protection device (SPD Type 1+2 at incomer), digital MFM metering with MODBUS RTU/TCP, voltage / current / phase indication, panel internal lighting, anti-condensation heater. Outgoing: 8× 300A TP→SMDB-1F..8F. Manufacturer's witnessed factory acceptance test (FAT) certificate. Complete installed, energised, with witnessed routine test certificate.</t>
  </si>
  <si>
    <t>📐  Schneider / ABB / Siemens / Eaton</t>
  </si>
  <si>
    <t>2.2.2</t>
  </si>
  <si>
    <t>Automatic PF correction capacitor bank — 375 kVAR, 415V, multi-step (typically 25/50 kVAR steps), with PF controller, contactors, detuning reactors (5.7%), incomer ACB, ID-labelled. For LVP-01.</t>
  </si>
  <si>
    <t>📐  ABB / Schneider / Cirprotec / Frako</t>
  </si>
  <si>
    <t>2.2.3</t>
  </si>
  <si>
    <t>LVP-02: Type-tested LV switchboard (TTA / IEC 61439-1/2), 3P+N+E, 415 V, 50 Hz, floor-standing metal-clad, IP41 (front) / IP31 (rear), Form 4b separation, electro-tin-plated copper busbars rated 2000 A continuous with 50 kA Icw 1 s short-time withstand. Includes 1600A 4P main ACB drawout type, Icu ≥ 50 kA, Ics = 100 % Icu, electronic LSIG trip unit, neutral earthing link, surge protection device (SPD Type 1+2 at incomer), digital MFM metering with MODBUS RTU/TCP, voltage / current / phase indication, panel internal lighting, anti-condensation heater. Outgoing: 1× 500A TP→SMDB-RF, 1× 160A TP→SMDB-EV, 1× 125A TP→SMDB-G, 12× 50A TP→SMDB-SH01..12, 1× 400A TP→ESMDB-G, 1× 350A TP→Fire Pump. Manufacturer's witnessed factory acceptance test (FAT) certificate. Complete installed, energised, with witnessed routine test certificate.</t>
  </si>
  <si>
    <t>2.2.4</t>
  </si>
  <si>
    <t>Automatic PF correction capacitor bank — 275 kVAR, 415V, multi-step (typically 25/50 kVAR steps), with PF controller, contactors, detuning reactors (5.7%), incomer ACB, ID-labelled. For LVP-02.</t>
  </si>
  <si>
    <t>Sub-Total 2.2</t>
  </si>
  <si>
    <t>2.3 — STANDBY GENERATOR &amp; ATS</t>
  </si>
  <si>
    <t>2.3.1</t>
  </si>
  <si>
    <t>Standby Generator — 300 kVA, 415V/3Ph/50Hz, diesel-engined, weatherproof acoustic canopy ≤75 dB(A) @1m, AMF panel, fuel tank (8h running), exhaust system with silencer, anti-vibration mounts, day-tank, fuel transfer pump, control wiring. Complete installed, commissioned, with full-load test certificate.</t>
  </si>
  <si>
    <t>📐  Cummins / Caterpillar / FG Wilson / Perkins</t>
  </si>
  <si>
    <t>2.3.2</t>
  </si>
  <si>
    <t>Automatic Transfer Switch (ATS) Panel — 415V, 400A, 4P, with mechanical/electrical interlock, programmable controller, mains/gen voltage and frequency monitoring, soak-back &amp; cool-down timers. Complete with controls, power and signalling cables.</t>
  </si>
  <si>
    <t>📐  ABB / Socomec / Cummins / GE</t>
  </si>
  <si>
    <t>Sub-Total 2.3</t>
  </si>
  <si>
    <t>BILL 2 — TOTAL CARRIED TO SUMMARY</t>
  </si>
  <si>
    <t>BILL No. 3 — SUB-MAIN DISTRIBUTION BOARDS (SMDBS)</t>
  </si>
  <si>
    <t>3 — SMDBs (no take-off data — populate from SLD)</t>
  </si>
  <si>
    <t>BILL 3 — TOTAL CARRIED TO SUMMARY</t>
  </si>
  <si>
    <t>BILL No. 4 — DISTRIBUTION BOARDS (DBS) &amp; CONSUMER UNITS</t>
  </si>
  <si>
    <t>4 — Distribution Boards (no take-off data)</t>
  </si>
  <si>
    <t>4.2 — MECHANICAL &amp; SERVICE EQUIPMENT — POWER CONNECTIONS</t>
  </si>
  <si>
    <t>4.2.1</t>
  </si>
  <si>
    <t>Power supply &amp; final connection to FAHU (Fresh Air Handling Unit) (174.66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</si>
  <si>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P-106 (Roof) / P-201 (SLD)</t>
  </si>
  <si>
    <t>📐  Schneider / Hager / Legrand / ABB</t>
  </si>
  <si>
    <t>4.2.2</t>
  </si>
  <si>
    <t>Power supply &amp; final connection to Fire pump (jockey + main + diesel cooling) (98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</si>
  <si>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4.2.3</t>
  </si>
  <si>
    <t>Power supply &amp; final connection to EV chargers (7 kW + 22 kW points) (88 kW) — incl. local weatherproof isolator / control switch, glanding, termination &amp; connection to equipment terminals, and control / interlock wiring where shown. Feeder cable &amp; upstream DB/MCCB measured separately (Bills 5 &amp; 3/4.1). Test &amp; commission jointly with the mechanical contractor.</t>
  </si>
  <si>
    <t>Sub-Total 4.2</t>
  </si>
  <si>
    <t>BILL 4 — TOTAL CARRIED TO SUMMARY</t>
  </si>
  <si>
    <t>BILL No. 5 — LV POWER CABLES (MAIN + DISTRIBUTION + FINAL CIRCUITS)</t>
  </si>
  <si>
    <t>5.5 — LSZH CABLES — Public-Area &amp; Escape-Route Final Circuits (DCD compliance)</t>
  </si>
  <si>
    <t>5.5.1</t>
  </si>
  <si>
    <t>LSZH XLPE/SWA/LSZH 4C × 16 mm² 600/1000 V cable to BS 7211 / IEC 60332-3 Cat C / IEC 61034 (low smoke) / IEC 60754 (zero halogen) — corridor &amp; lobby final-circuit risers, escape-route mains.</t>
  </si>
  <si>
    <t>P-103 … P-108 / P-201</t>
  </si>
  <si>
    <t>📋  Ducab LSZH / Prysmian / Helkama / Nexans</t>
  </si>
  <si>
    <t>5.5.2</t>
  </si>
  <si>
    <t>LSZH XLPE/LSZH 3C × 4 mm² Cu cable — apartment lighting &amp; socket sub-mains in escape corridors.</t>
  </si>
  <si>
    <t>5.5.3</t>
  </si>
  <si>
    <t>LSZH XLPE/LSZH 3C × 2.5 mm² Cu cable — final-circuit drops to apartment outlets &amp; accessories on escape route.</t>
  </si>
  <si>
    <t>5.5.4</t>
  </si>
  <si>
    <t>LSZH XLPE/LSZH 2C × 1.5 mm² Cu cable — emergency / exit-sign final circuits (combined with FR per Bill 5.2).</t>
  </si>
  <si>
    <t>📋  Ducab FR / Pirelli / Prysmian / Nexans</t>
  </si>
  <si>
    <t>Sub-Total 5.5</t>
  </si>
  <si>
    <t>BILL 5 — TOTAL CARRIED TO SUMMARY</t>
  </si>
  <si>
    <t>BILL No. 6 — CABLE CONTAINMENT (TRAY, LADDER, TRUNKING, CONDUIT)</t>
  </si>
  <si>
    <t>6.1 — CABLE TRAYS, LADDERS, TRUNKING &amp; CONDUITS</t>
  </si>
  <si>
    <t>6.1.1</t>
  </si>
  <si>
    <t>GI hot-dip galvanised cable ladder, 500mm wide × 100mm side rail (vertical riser shaft, UG to Roof), hot-dip galvanised to BS EN ISO 1461, c/w supports at max 1.5m centres on horizontal / 1.0m on vertical, brackets, bends, tees, reducers, copplers, fixings, earth bonding straps.</t>
  </si>
  <si>
    <t>P-010 (Cable tray detail) / P-201</t>
  </si>
  <si>
    <t>📋  Marshall Tufflex / Vergokan / Niedax / Eltete</t>
  </si>
  <si>
    <t>6.1.2</t>
  </si>
  <si>
    <t>GI hot-dip galvanised cable ladder, 300mm wide × 100mm side rail (horizontal at each floor riser→SMDB), hot-dip galvanised to BS EN ISO 1461, c/w supports at max 1.5m centres on horizontal / 1.0m on vertical, brackets, bends, tees, reducers, copplers, fixings, earth bonding straps.</t>
  </si>
  <si>
    <t>6.1.3</t>
  </si>
  <si>
    <t>GI perforated cable tray, 200mm wide × 50mm deep (corridor distribution 1F–8F), hot-dip galvanised to BS EN ISO 1461, c/w supports at max 1.5m centres on horizontal / 1.0m on vertical, brackets, bends, tees, reducers, copplers, fixings, earth bonding straps.</t>
  </si>
  <si>
    <t>6.1.4</t>
  </si>
  <si>
    <t>GI perforated cable tray, 100mm wide × 50mm deep (branch distribution to DBs), hot-dip galvanised to BS EN ISO 1461, c/w supports at max 1.5m centres on horizontal / 1.0m on vertical, brackets, bends, tees, reducers, copplers, fixings, earth bonding straps.</t>
  </si>
  <si>
    <t>6.1.5</t>
  </si>
  <si>
    <t>GI perforated cable tray, 200mm wide × 50mm deep (Ground floor retail/common), hot-dip galvanised to BS EN ISO 1461, c/w supports at max 1.5m centres on horizontal / 1.0m on vertical, brackets, bends, tees, reducers, copplers, fixings, earth bonding straps.</t>
  </si>
  <si>
    <t>6.1.6</t>
  </si>
  <si>
    <t>GI perforated cable tray, 300mm wide × 75mm deep (Roof mechanical), hot-dip galvanised to BS EN ISO 1461, c/w supports at max 1.5m centres on horizontal / 1.0m on vertical, brackets, bends, tees, reducers, copplers, fixings, earth bonding straps.</t>
  </si>
  <si>
    <t>6.1.7</t>
  </si>
  <si>
    <t>25mm uPVC conduit c/w draw wire, saddles, junction boxes, hot-dip galvanised to BS EN ISO 1461, c/w supports at max 1.5m centres on horizontal / 1.0m on vertical, brackets, bends, tees, reducers, copplers, fixings, earth bonding straps.</t>
  </si>
  <si>
    <t>📋  Marshall Tufflex / Pemsa / Atkore / DSS</t>
  </si>
  <si>
    <t>6.1.8</t>
  </si>
  <si>
    <t>32mm uPVC conduit (cable tray to SMDB at each floor), hot-dip galvanised to BS EN ISO 1461, c/w supports at max 1.5m centres on horizontal / 1.0m on vertical, brackets, bends, tees, reducers, copplers, fixings, earth bonding straps.</t>
  </si>
  <si>
    <t>6.1.9</t>
  </si>
  <si>
    <t>20mm uPVC conduit (final-circuit drops to outlets), hot-dip galvanised to BS EN ISO 1461, c/w supports at max 1.5m centres on horizontal / 1.0m on vertical, brackets, bends, tees, reducers, copplers, fixings, earth bonding straps.</t>
  </si>
  <si>
    <t>6.1.10</t>
  </si>
  <si>
    <t>25mm GI rigid conduit — fire-rated for emergency cable routes (staircase wells, fire shafts), hot-dip galvanised to BS EN ISO 1461, c/w supports at max 1.5m centres on horizontal / 1.0m on vertical, brackets, bends, tees, reducers, copplers, fixings, earth bonding straps.</t>
  </si>
  <si>
    <t>Sub-Total 6.1</t>
  </si>
  <si>
    <t>BILL 6 — TOTAL CARRIED TO SUMMARY</t>
  </si>
  <si>
    <t>BILL No. 7 — WIRING DEVICES &amp; ACCESSORIES</t>
  </si>
  <si>
    <t>7.1 — SOCKET OUTLETS</t>
  </si>
  <si>
    <t>7.1.1</t>
  </si>
  <si>
    <t>13 A SP switched socket outlet (BS 1363), white moulded grid plate</t>
  </si>
  <si>
    <t>P-103 … P-108 (Floor plans)</t>
  </si>
  <si>
    <t>📋  MK / Schneider / Legrand / Hager</t>
  </si>
  <si>
    <t>7.1.2</t>
  </si>
  <si>
    <t>13 A DP twin switched socket outlet (BS 1363)</t>
  </si>
  <si>
    <t>7.1.3</t>
  </si>
  <si>
    <t>20 A DP switched outlet for AC indoor unit</t>
  </si>
  <si>
    <t>7.1.4</t>
  </si>
  <si>
    <t>20 A DP switched outlet for water heater (with neon)</t>
  </si>
  <si>
    <t>7.1.5</t>
  </si>
  <si>
    <t>32 A cooker outlet with isolator + neon</t>
  </si>
  <si>
    <t>7.1.6</t>
  </si>
  <si>
    <t>Floor-mounted service box (lobby / retail counters), 4-gang</t>
  </si>
  <si>
    <t>7.1.7</t>
  </si>
  <si>
    <t>Shaver socket outlet (bathrooms)</t>
  </si>
  <si>
    <t>Sub-Total 7.1</t>
  </si>
  <si>
    <t>7.2 — SWITCHES &amp; CONTROLS</t>
  </si>
  <si>
    <t>7.2.1</t>
  </si>
  <si>
    <t>1-gang / 2-gang lighting switches, 10A 250V grid-style, white moulded plate (BS 3676)</t>
  </si>
  <si>
    <t>7.2.2</t>
  </si>
  <si>
    <t>2-way / intermediate switches (corridors, stairs)</t>
  </si>
  <si>
    <t>7.2.3</t>
  </si>
  <si>
    <t>Dimmer switch, 1-gang, 250 W LED-compatible</t>
  </si>
  <si>
    <t>7.2.4</t>
  </si>
  <si>
    <t>Occupancy / PIR sensor (corridors, BOH, stores), with manual override</t>
  </si>
  <si>
    <t>7.2.5</t>
  </si>
  <si>
    <t>Doorbell push + chime kit (apartments)</t>
  </si>
  <si>
    <t>Set</t>
  </si>
  <si>
    <t>7.2.6</t>
  </si>
  <si>
    <t>Connection unit (FCU), 3 A fused, for ceiling/extract fans</t>
  </si>
  <si>
    <t>Sub-Total 7.2</t>
  </si>
  <si>
    <t>7.3 — ISOLATORS &amp; EV CHARGER OUTLETS</t>
  </si>
  <si>
    <t>7.3.1</t>
  </si>
  <si>
    <t>Isolator, 4P 32A, weatherproof IP55, for outdoor mech. equipment</t>
  </si>
  <si>
    <t>7.3.2</t>
  </si>
  <si>
    <t>Isolator, 2P 20A, indoor IP20 — small fixed equipment</t>
  </si>
  <si>
    <t>7.3.3</t>
  </si>
  <si>
    <t>EV charger socket outlet — 7 kW AC Mode 3 Type 2 (basement parking)</t>
  </si>
  <si>
    <t>📋  ABB Terra / Schneider / Wallbox / Delta</t>
  </si>
  <si>
    <t>7.3.4</t>
  </si>
  <si>
    <t>EV charger socket outlet — 22 kW AC Mode 3 Type 2 (basement parking)</t>
  </si>
  <si>
    <t>Sub-Total 7.3</t>
  </si>
  <si>
    <t>BILL 7 — TOTAL CARRIED TO SUMMARY</t>
  </si>
  <si>
    <t>BILL No. 8 — LIGHTING FIXTURES (INTERNAL + EXTERNAL)</t>
  </si>
  <si>
    <t>8.1 — INTERIOR LIGHTING — APARTMENTS &amp; COMMON AREAS</t>
  </si>
  <si>
    <t>8.1.1</t>
  </si>
  <si>
    <t>Recessed LED downlight, 12 W / 800 lm, 4000 K, IP20, anti-glare reflector (apartments, lobby, corridors)</t>
  </si>
  <si>
    <t>📋  Philips / Osram / Trilux / Thorn / Cooper</t>
  </si>
  <si>
    <t>8.1.2</t>
  </si>
  <si>
    <t>Surface-mount LED panel, 600×600 mm, 36 W / 3600 lm, 4000 K (lobby, BOH)</t>
  </si>
  <si>
    <t>8.1.3</t>
  </si>
  <si>
    <t>Linear LED batten 1200 mm, 36 W / 4000 lm, 4000 K, IP40 (car park, services)</t>
  </si>
  <si>
    <t>8.1.4</t>
  </si>
  <si>
    <t>Bulkhead LED fitting, 12 W, IP65, polycarbonate (staircase, plant rooms)</t>
  </si>
  <si>
    <t>8.1.5</t>
  </si>
  <si>
    <t>Wall-mounted LED bracket light (corridors, accent)</t>
  </si>
  <si>
    <t>8.1.6</t>
  </si>
  <si>
    <t>Pendant decorative LED fixture (lobby — provisional)</t>
  </si>
  <si>
    <t>8.1.7</t>
  </si>
  <si>
    <t>Track lighting LED spot, 15 W, 3000 K (retail — provisional)</t>
  </si>
  <si>
    <t>Sub-Total 8.1</t>
  </si>
  <si>
    <t>8.2 — EXTERIOR LIGHTING (Façade, Podium, Parking)</t>
  </si>
  <si>
    <t>8.2.1</t>
  </si>
  <si>
    <t>External wall-mounted LED fixture, 24 W, IP65, anti-glare optic (podium, façade)</t>
  </si>
  <si>
    <t>P-100 (Site / external)</t>
  </si>
  <si>
    <t>📋  Philips Lumec / Disano / iGuzzini / Thorn</t>
  </si>
  <si>
    <t>8.2.2</t>
  </si>
  <si>
    <t>Pole-mounted parking LED area light, 80 W, 4000 K, IP66, on 6 m pole</t>
  </si>
  <si>
    <t>8.2.3</t>
  </si>
  <si>
    <t>Step / kerb LED light, 3 W, IP67, recessed</t>
  </si>
  <si>
    <t>8.2.4</t>
  </si>
  <si>
    <t>Bollard LED, 20 W, IP65, 800 mm height (landscape)</t>
  </si>
  <si>
    <t>8.2.5</t>
  </si>
  <si>
    <t>Façade LED linear / wall-grazer, IP66 (provisional sum)</t>
  </si>
  <si>
    <t>Sub-Total 8.2</t>
  </si>
  <si>
    <t>8.3 — LIGHTING CONTROLS</t>
  </si>
  <si>
    <t>8.3.1</t>
  </si>
  <si>
    <t>Time-clock / astronomical timer for façade and external lighting</t>
  </si>
  <si>
    <t>P-200 (SLD) / Lighting controls</t>
  </si>
  <si>
    <t>8.3.2</t>
  </si>
  <si>
    <t>Photocell / daylight sensor for external circuits</t>
  </si>
  <si>
    <t>8.3.3</t>
  </si>
  <si>
    <t>DALI/0-10V dimmer module for common-area lighting (provisional)</t>
  </si>
  <si>
    <t>Sub-Total 8.3</t>
  </si>
  <si>
    <t>BILL 8 — TOTAL CARRIED TO SUMMARY</t>
  </si>
  <si>
    <t>BILL No. 9 — EARTHING &amp; LIGHTNING PROTECTION</t>
  </si>
  <si>
    <t>9.1 — MAIN EARTHING SYSTEM (TN-S, ≤ 1 Ω)</t>
  </si>
  <si>
    <t>9.1.1</t>
  </si>
  <si>
    <t>Main earth bar (MEB) in LV room — 50×6mm copper busbar, drilled and labelled, c/w insulators and fixing</t>
  </si>
  <si>
    <t>P-300 (LV room) / P-001 (Notes)</t>
  </si>
  <si>
    <t>📋  Erico / Furse / DEHN / Pentair</t>
  </si>
  <si>
    <t>9.1.2</t>
  </si>
  <si>
    <t>Earth pit (BS 7430 / DEWA) — 1200mm copper-bonded steel earth rod, inspection chamber, backfill, conductor clamp. Test &lt; 1 Ω</t>
  </si>
  <si>
    <t>9.1.3</t>
  </si>
  <si>
    <t>1C × 95mm² bare copper earth conductor — MEB to earth pits and DEWA earth terminal</t>
  </si>
  <si>
    <t>9.1.4</t>
  </si>
  <si>
    <t>1C × 50mm² green/yellow PVC earth conductor — MEB to structural steel bonding points, water/gas entry</t>
  </si>
  <si>
    <t>9.1.5</t>
  </si>
  <si>
    <t>1C × 35mm² green/yellow XLPE earth conductor — MEB to sub-earth bar at each SMDB</t>
  </si>
  <si>
    <t>📋  Ducab / NCC / Oman Cables / Riyadh Cables</t>
  </si>
  <si>
    <t>9.1.6</t>
  </si>
  <si>
    <t>1C × 10mm² green/yellow PVC earth conductor — SMDB earth bar to each DB on residential floors</t>
  </si>
  <si>
    <t>9.1.7</t>
  </si>
  <si>
    <t>Supplementary bonding conductor 4mm² — pipework, trays, equipment frames (provisional)</t>
  </si>
  <si>
    <t>Sub-Total 9.1</t>
  </si>
  <si>
    <t>9.2 — LIGHTNING PROTECTION (IEC 62305)</t>
  </si>
  <si>
    <t>9.2.1</t>
  </si>
  <si>
    <t>Air termination — Franklin/ESE rod, copper-bonded, with insulator + fixing (rooftop)</t>
  </si>
  <si>
    <t>P-100 (Site) / P-108 (Roof)</t>
  </si>
  <si>
    <t>📋  DEHN / Erico / Furse / Helita</t>
  </si>
  <si>
    <t>9.2.2</t>
  </si>
  <si>
    <t>Down conductor — 50mm² bare copper tape/wire, full building height (basement to roof)</t>
  </si>
  <si>
    <t>9.2.3</t>
  </si>
  <si>
    <t>Test point chamber with disconnector, lockable lid, at base of each down conductor</t>
  </si>
  <si>
    <t>9.2.4</t>
  </si>
  <si>
    <t>Earth electrode for LP system — copper-bonded rod + inspection chamber</t>
  </si>
  <si>
    <t>9.2.5</t>
  </si>
  <si>
    <t>Surge protection device (SPD) Type 1+2 at LV panel main incomer</t>
  </si>
  <si>
    <t>9.2.6</t>
  </si>
  <si>
    <t>Lightning protection design certification, risk assessment per IEC 62305-2</t>
  </si>
  <si>
    <t>9.2.7</t>
  </si>
  <si>
    <t>LP testing &amp; DEWA acceptance certificate</t>
  </si>
  <si>
    <t>Sub-Total 9.2</t>
  </si>
  <si>
    <t>BILL 9 — TOTAL CARRIED TO SUMMARY</t>
  </si>
  <si>
    <t>BILL No. 10 — EMERGENCY LIGHTING &amp; LIFE SAFETY</t>
  </si>
  <si>
    <t>10.1 — EMERGENCY LUMINAIRES (3-hour autonomy)</t>
  </si>
  <si>
    <t>10.1.1</t>
  </si>
  <si>
    <t>Self-contained emergency LED downlight, 3 W, 3-hour duration, IP20, with self-test (corridors, lobbies)</t>
  </si>
  <si>
    <t>P-103 … P-108 (Floor plans) / P-201</t>
  </si>
  <si>
    <t>10.1.2</t>
  </si>
  <si>
    <t>Self-contained emergency bulkhead, 8 W, 3-hour, IP65 (staircase, plant rooms)</t>
  </si>
  <si>
    <t>📋  Chloride / Cooper / Tridonic / Hochiki</t>
  </si>
  <si>
    <t>10.1.3</t>
  </si>
  <si>
    <t>Maintained emergency exit sign LED, single-sided, with arrow pictogram (BS EN 1838)</t>
  </si>
  <si>
    <t>10.1.4</t>
  </si>
  <si>
    <t>Maintained emergency exit sign LED, double-sided, ceiling-mounted</t>
  </si>
  <si>
    <t>Sub-Total 10.1</t>
  </si>
  <si>
    <t>10.2 — EMERGENCY POWER FOR LIFE-SAFETY EQUIPMENT (FR feeders)</t>
  </si>
  <si>
    <t>10.2.1</t>
  </si>
  <si>
    <t>Power supply for fire pump panel — Fire-Rated cable from ESMDB-RF, including isolator &amp; terminations</t>
  </si>
  <si>
    <t>P-200 (Essential) / P-201 (FR feeders)</t>
  </si>
  <si>
    <t>10.2.2</t>
  </si>
  <si>
    <t>Power supply for stair pressurisation fans — FR feeder &amp; isolator</t>
  </si>
  <si>
    <t>10.2.3</t>
  </si>
  <si>
    <t>Power supply for smoke-extract fans (basement &amp; corridors) — FR feeder &amp; isolator</t>
  </si>
  <si>
    <t>10.2.4</t>
  </si>
  <si>
    <t>Power supply for sprinkler-system jockey pump &amp; main pump motor starter</t>
  </si>
  <si>
    <t>📋</t>
  </si>
  <si>
    <t>10.2.5</t>
  </si>
  <si>
    <t>Power supply for fire-fighter's lift (2-hour FR feeder)</t>
  </si>
  <si>
    <t>Sub-Total 10.2</t>
  </si>
  <si>
    <t>10.3 — CENTRAL BATTERY SYSTEM (CBS) — alternative to self-contained</t>
  </si>
  <si>
    <t>10.3.1</t>
  </si>
  <si>
    <t>CBS cabinet — 24/48 V DC, 3-hour autonomy, sized for total emergency luminaire load (~8 kW for this project), VRLA sealed batteries, charger, supervision, BMS interface, IP31, lockable. Provisional sum.</t>
  </si>
  <si>
    <t>P-201 (Emergency loop) / P-300 (CBS cabinet)</t>
  </si>
  <si>
    <t>📋  Chloride / Cooper / Olympia / Hochiki</t>
  </si>
  <si>
    <t>10.3.2</t>
  </si>
  <si>
    <t>Maintained-feed sub-circuits from CBS to corridor / public-area luminaires — Fire-Rated cable in dedicated FR containment, ID-labelled in red (allow per riser).</t>
  </si>
  <si>
    <t>10.3.3</t>
  </si>
  <si>
    <t>CBS testing &amp; 3-hour discharge witness test — under controlled outage, recording lumen output and battery voltage decay.</t>
  </si>
  <si>
    <t>Sub-Total 10.3</t>
  </si>
  <si>
    <t>10.4 — FIRE ALARM / MEP INTEGRATION (DCD requirement)</t>
  </si>
  <si>
    <t>10.4.1</t>
  </si>
  <si>
    <t>Shunt-trip relay for FAHU isolation on Fire Alarm activation — 24 V DC monitored coil, status feedback to FACP, MCCB shunt-trip module.</t>
  </si>
  <si>
    <t>Coordinate with FA contractor (FA-001 series)</t>
  </si>
  <si>
    <t>📋  Schneider / ABB / Siemens / Eaton</t>
  </si>
  <si>
    <t>10.4.2</t>
  </si>
  <si>
    <t>Shunt-trip relay for AHU isolation per air-handling zone — 24 V DC monitored, status feedback to FACP. (Allow per AHU zone — typical per floor)</t>
  </si>
  <si>
    <t>10.4.3</t>
  </si>
  <si>
    <t>Lift fire-recall interface module — homes lifts to designated fire-recall floor on Fire Alarm signal, monitored by FACP. (Per lift bank)</t>
  </si>
  <si>
    <t>📋  KONE / Otis / Schindler / Mitsubishi (lift OEM)</t>
  </si>
  <si>
    <t>10.4.4</t>
  </si>
  <si>
    <t xml:space="preserve">Smoke / fire damper actuator power supply — 24 V DC monitored, with status feedback (allow per damper, including fire dampers and smoke control). </t>
  </si>
  <si>
    <t>📋  Notifier / Honeywell / Edwards / Hochiki</t>
  </si>
  <si>
    <t>10.4.5</t>
  </si>
  <si>
    <t>Mag-lock door release on fire alarm — fail-safe release, 24 V DC, monitored relay for FACP signalling. (Per access-controlled fire-route door.)</t>
  </si>
  <si>
    <t>10.4.6</t>
  </si>
  <si>
    <t>FA-BMS interface relay rack — wall-mounted enclosure with 24 V DC PSU, monitored output relays for HVAC / lighting / lift signalling to FACP &amp; BMS.</t>
  </si>
  <si>
    <t>10.4.7</t>
  </si>
  <si>
    <t>FA system tie-in cabling — Fire-Rated 2-core control cable from FACP to interface relays / shunt-trips / damper actuators. (Allow per tie-in.)</t>
  </si>
  <si>
    <t>Sub-Total 10.4</t>
  </si>
  <si>
    <t>BILL 10 — TOTAL CARRIED TO SUMMARY</t>
  </si>
  <si>
    <t>BILL No. 11 — ELV CONTAINMENT (TEL/DATA, CCTV, ACS, MATV, FA)</t>
  </si>
  <si>
    <t>11.1 — ELV CONTAINMENT — PROVISIONAL (specialist trades)</t>
  </si>
  <si>
    <t>11.1.1</t>
  </si>
  <si>
    <t>Telephone / data containment — uPVC conduit Ø 25 mm + draw wires from MDF/IDF to apartment outlets</t>
  </si>
  <si>
    <t>P-010 / Specialist trade</t>
  </si>
  <si>
    <t>11.1.2</t>
  </si>
  <si>
    <t>CCTV containment — uPVC conduit Ø 25 mm + draw wires + back-boxes to camera locations</t>
  </si>
  <si>
    <t>11.1.3</t>
  </si>
  <si>
    <t>Access Control containment — conduit + wiring trough at every controlled door</t>
  </si>
  <si>
    <t>11.1.4</t>
  </si>
  <si>
    <t>MATV / SMATV containment — conduit + draw wires, MDF to apartment TV points</t>
  </si>
  <si>
    <t>11.1.5</t>
  </si>
  <si>
    <t>Fire Alarm containment — fire-rated conduit Ø 25/32 mm at all loops, isolator points (specialist supply by FA contractor)</t>
  </si>
  <si>
    <t>11.1.6</t>
  </si>
  <si>
    <t>BMS field cabling containment — conduit + tray at every field-device location (specialist supply by BMS contractor)</t>
  </si>
  <si>
    <t>11.1.7</t>
  </si>
  <si>
    <t>Audio-Video / Door-entry containment — conduit + back-boxes</t>
  </si>
  <si>
    <t>11.1.8</t>
  </si>
  <si>
    <t>ELV main risers — 100×100 mm GI trunking with separators between systems</t>
  </si>
  <si>
    <t>Sub-Total 11.1</t>
  </si>
  <si>
    <t>BILL 11 — TOTAL CARRIED TO SUMMARY</t>
  </si>
  <si>
    <t>BILL No. 12 — METERING &amp; MONITORING</t>
  </si>
  <si>
    <t>12.1 — DEWA SMART METERING — Tenant &amp; Landlord (AMI-ready, DEWA Smart Grid Programme)</t>
  </si>
  <si>
    <t>12.1.1</t>
  </si>
  <si>
    <t>DEWA-approved smart kWh meter, single-phase, AMI-ready (PLC + RF mesh communication), bi-directional metering capability, Class 1 accuracy, sealed, IEC 62052-11 / IEC 62053-21 compliant — for apartment tenants. Includes anti-tamper detection, configurable load-profile recording, remote-read capability.</t>
  </si>
  <si>
    <t>P-300 (LV room) / DEWA Smart Grid spec</t>
  </si>
  <si>
    <t>📋  Itron / Landis+Gyr / Iskra (DEWA-listed)</t>
  </si>
  <si>
    <t>12.1.2</t>
  </si>
  <si>
    <t>DEWA-approved smart kWh meter, three-phase, CT-operated, AMI-ready, bi-directional with consumption + export channel for Shams Dubai net metering (where PV applicable), Class 0.5S accuracy, sealed, IEC 62053-22 — for retail / common services / landlord.</t>
  </si>
  <si>
    <t>12.1.3</t>
  </si>
  <si>
    <t>DEWA-approved smart meter cabinet — DEWA Service Connection Specifications compliant, modular, lockable, ventilated, IP31, with sealed access door for DEWA-only opening, RJ-45 / RS-485 communication ports.</t>
  </si>
  <si>
    <t>12.1.4</t>
  </si>
  <si>
    <t>Current transformers (CTs) for smart-meter feeders — Class 0.5S, 250/5 / 400/5 / 630/5 / 2000/5 ratios per panel schedule, sealed, with DEWA-approved label.</t>
  </si>
  <si>
    <t>📋  Schneider PowerLogic / Janitza / Carlo Gavazzi</t>
  </si>
  <si>
    <t>12.1.5</t>
  </si>
  <si>
    <t>AMI head-end / data-concentrator (PLC + RF mesh gateway) — coordination with DEWA where centralised concentrator is supplied by DEWA; provisional allowance for concentrator location, power supply, and back-haul cabling.</t>
  </si>
  <si>
    <t>Sub-Total 12.1</t>
  </si>
  <si>
    <t>12.2 — PANEL METERING, BMS INTEGRATION &amp; MDM COORDINATION</t>
  </si>
  <si>
    <t>12.2.1</t>
  </si>
  <si>
    <t>Multi-function digital meter (MFM) on LV panel main incomer &amp; outgoing feeders — V/I/P/Q/PF/THD measurement, MODBUS RTU/TCP communication, Class 0.5 accuracy.</t>
  </si>
  <si>
    <t>12.2.2</t>
  </si>
  <si>
    <t>Energy-monitoring software / SCADA package for panel-level metering — head-end software, dashboards, historical data logging — provisional sum.</t>
  </si>
  <si>
    <t>12.2.3</t>
  </si>
  <si>
    <t>DEWA MDM (Meter Data Management) integration — testing of meter-to-MDM connectivity, data validation, and acceptance per DEWA AMI specifications. Provisional sum.</t>
  </si>
  <si>
    <t>12.2.4</t>
  </si>
  <si>
    <t>Wiring, terminations, CT secondaries, communication cabling (RS-485 / Cat6) for panel-level + smart-meter system.</t>
  </si>
  <si>
    <t>12.2.5</t>
  </si>
  <si>
    <t>DEWA-witnessed meter sealing &amp; acceptance — including AMI commissioning and remote-read verification.</t>
  </si>
  <si>
    <t>Sub-Total 12.2</t>
  </si>
  <si>
    <t>BILL 12 — TOTAL CARRIED TO SUMMARY</t>
  </si>
  <si>
    <t>BILL No. 13 — TESTING, COMMISSIONING &amp; DEWA APPROVAL</t>
  </si>
  <si>
    <t>13.1 — ROUTINE ELECTRICAL TESTS (Pre-energisation)</t>
  </si>
  <si>
    <t>13.1.1</t>
  </si>
  <si>
    <t>Insulation resistance testing of all LV cables — 500 V/1000 V Megger, full report.</t>
  </si>
  <si>
    <t>DEWA / DM / DCD / IEC 60364-6</t>
  </si>
  <si>
    <t>13.1.2</t>
  </si>
  <si>
    <t>Continuity &amp; polarity testing of all final circuits.</t>
  </si>
  <si>
    <t>13.1.3</t>
  </si>
  <si>
    <t>Earth fault loop impedance testing at every distribution board.</t>
  </si>
  <si>
    <t>13.1.4</t>
  </si>
  <si>
    <t>Phase rotation &amp; balance testing at all 3-phase feeders.</t>
  </si>
  <si>
    <t>13.1.5</t>
  </si>
  <si>
    <t>RCD testing at all RCD/RCBO-protected circuits.</t>
  </si>
  <si>
    <t>Sub-Total 13.1</t>
  </si>
  <si>
    <t>13.2 — SYSTEM COMMISSIONING (Energisation &amp; Performance)</t>
  </si>
  <si>
    <t>13.2.1</t>
  </si>
  <si>
    <t>ATS changeover testing — simulate mains failure, verify auto-switchover, full load test.</t>
  </si>
  <si>
    <t>📋  ABB / Socomec / Cummins / GE</t>
  </si>
  <si>
    <t>13.2.2</t>
  </si>
  <si>
    <t>Standby generator full-load test — including load bank (if required), 4-hour run, fuel consumption recording.</t>
  </si>
  <si>
    <t>📋  Cummins / Caterpillar / FG Wilson / Perkins</t>
  </si>
  <si>
    <t>13.2.3</t>
  </si>
  <si>
    <t>Power-factor correction verification — record PF before/after capacitor bank energisation, harmonic analysis.</t>
  </si>
  <si>
    <t>13.2.4</t>
  </si>
  <si>
    <t>Earthing system resistance test (Megger DET) at every electrode and MEB.</t>
  </si>
  <si>
    <t>13.2.5</t>
  </si>
  <si>
    <t>Lightning protection continuity test, including down-conductor resistance.</t>
  </si>
  <si>
    <t>13.2.6</t>
  </si>
  <si>
    <t>Emergency lighting 3-hour duration test under controlled outage.</t>
  </si>
  <si>
    <t>Sub-Total 13.2</t>
  </si>
  <si>
    <t>13.3 — AUTHORITY APPROVALS &amp; AS-BUILT DOCUMENTATION</t>
  </si>
  <si>
    <t>13.3.1</t>
  </si>
  <si>
    <t>DEWA Inspection Coordination — coordinating multiple DEWA inspection visits during construction (cable rough-in, panel termination, earthing, metering pre-energisation, energising, post-energisation), submission of inspection requests, attendance, and rectifications until each stage is signed off.</t>
  </si>
  <si>
    <t>13.3.2</t>
  </si>
  <si>
    <t>DEWA Final Approval &amp; Energisation — application fees, witnessed routine test, meter sealing, energising-permit issue. Provisional sum.</t>
  </si>
  <si>
    <t>13.3.3</t>
  </si>
  <si>
    <t>Dubai Municipality (DM) electrical inspection clearance — coordination with DM inspectors, attendance, and rectifications until clearance is obtained for occupancy / completion certificate.</t>
  </si>
  <si>
    <t>13.3.4</t>
  </si>
  <si>
    <t>DCD (Dubai Civil Defence) electrical clearance for life-safety installations — emergency lighting witnessed test, fire-pump power-supply inspection, smoke-control fan circuit verification.</t>
  </si>
  <si>
    <t>13.3.5</t>
  </si>
  <si>
    <t>As-Built Drawings — Consultant Approval. As-Built drawings (AutoCAD .dwg + PDF, 4 hard-copy bound sets), submitted to consultant for review, revisions until approved and signed.</t>
  </si>
  <si>
    <t>13.3.6</t>
  </si>
  <si>
    <t>As-Built Drawings — DEWA Approval. As-Built submission to DEWA in DEWA-required format (specific layer / title-block / electronic file structure), revisions until approved and filed by DEWA.</t>
  </si>
  <si>
    <t>13.3.7</t>
  </si>
  <si>
    <t>Energising application &amp; meter installation coordination with DEWA — preparing application package, submitting to DEWA, attendance at DEWA appointments.</t>
  </si>
  <si>
    <t>13.3.8</t>
  </si>
  <si>
    <t>Final commissioning report — bound, signed, indexed (5 hard copies + electronic PDF), including all routine-test results, manufacturer test certificates, witness signatures.</t>
  </si>
  <si>
    <t>13.3.9</t>
  </si>
  <si>
    <t>Operator training — 2 sessions of 4 hours each, including written training material in English (and Arabic where requested), covering operation, routine maintenance, and emergency response.</t>
  </si>
  <si>
    <t>13.3.10</t>
  </si>
  <si>
    <t>Witnessed handover walk-through with consultant &amp; employer team — verifying every installation against As-Built, snag list, sign-off.</t>
  </si>
  <si>
    <t>Sub-Total 13.3</t>
  </si>
  <si>
    <t>BILL 13 — TOTAL CARRIED TO SUMMARY</t>
  </si>
  <si>
    <t>BILL OF QUANTITIES — SUMMARY OF BILLS</t>
  </si>
  <si>
    <t>Proposed B+G+8+R Commercial &amp; Residential Building | Plot 6731315, Al Barsha South Third, Dubai, UAE | Job FA_P379 / CRs B/010/25</t>
  </si>
  <si>
    <t>Sheet Ref</t>
  </si>
  <si>
    <t>Bill Total (AED)</t>
  </si>
  <si>
    <t>Mob, insurance, submittals, As-Built</t>
  </si>
  <si>
    <t>HV / LV Main Distribution</t>
  </si>
  <si>
    <t>Transformer, MDB, generator, ATS, capacitors</t>
  </si>
  <si>
    <t>Sub-Main Distribution Boards</t>
  </si>
  <si>
    <t>Typical floor, GF, RF, EV, retail, emergency</t>
  </si>
  <si>
    <t>Distribution Boards &amp; Consumer Units</t>
  </si>
  <si>
    <t>Apt, common, retail, emergency, mech</t>
  </si>
  <si>
    <t>LV Power Cables</t>
  </si>
  <si>
    <t>Main + distribution + final + ECC + FR</t>
  </si>
  <si>
    <t>Cable Containment</t>
  </si>
  <si>
    <t>Tray, ladder, conduit, trunking</t>
  </si>
  <si>
    <t>Sockets, switches, isolators, EV outlets</t>
  </si>
  <si>
    <t>Lighting Fixtures</t>
  </si>
  <si>
    <t>Internal, external, controls</t>
  </si>
  <si>
    <t>TN-S, electrodes, LP system</t>
  </si>
  <si>
    <t>Self-contained, exit signs, FR feeders</t>
  </si>
  <si>
    <t>ELV Containment</t>
  </si>
  <si>
    <t>Tel/Data/CCTV/ACS/MATV/FA conduit</t>
  </si>
  <si>
    <t>Tenant + panel meters, BMS integration</t>
  </si>
  <si>
    <t>Routine tests + system commissioning + DEWA</t>
  </si>
  <si>
    <t>SUB-TOTAL OF BILLS (Bills 1–13)</t>
  </si>
  <si>
    <t>Provisional Sums adjustment (if any)</t>
  </si>
  <si>
    <t>Editable — net adjustment</t>
  </si>
  <si>
    <t>Day Works Schedule (per separate schedule)</t>
  </si>
  <si>
    <t>Editable</t>
  </si>
  <si>
    <t>Contingency (10%) — on Bills 1–13</t>
  </si>
  <si>
    <t>Discount (if offered, enter as negative)</t>
  </si>
  <si>
    <t>TOTAL TENDER PRICE — Excluding VAT</t>
  </si>
  <si>
    <t>VAT (5%) — UAE Federal Tax Authority</t>
  </si>
  <si>
    <t>GRAND TOTAL TENDER PRICE — Including VAT</t>
  </si>
  <si>
    <t>FORM OF TENDER</t>
  </si>
  <si>
    <t>We, the undersigned, having examined the tender drawings, specifications, and bill of quantities, do hereby offer to execute the works for the sum stated above (Grand Total Tender Price including VAT).</t>
  </si>
  <si>
    <t>Validity period: 90 days from tender submission date.</t>
  </si>
  <si>
    <t>Construction period: as specified in the contract documents.</t>
  </si>
  <si>
    <t>Defects Liability Period: 12 months from substantial completion / handover.</t>
  </si>
  <si>
    <t>Authorised signatory: SABI Engineering &amp; Contracting LLC</t>
  </si>
  <si>
    <t>TRN: 100XXXXXXXXXXXXX</t>
  </si>
  <si>
    <t>Signature &amp; Stamp: ____________________________   Date: 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</si>
</sst>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quot; kW&quot;"/>
    <numFmt numFmtId="165" formatCode="#,##0&quot; kW&quot;"/>
    <numFmt numFmtId="166" formatCode="#,##0.##"/>
    <numFmt numFmtId="167" formatCode="#,##0.00;[Red]-#,##0.00;&quot;—&quot;;@"/>
  </numFmts>
  <fonts count="14" x14ac:knownFonts="1">
    <font>
      <color theme="1"/>
      <family val="2"/>
      <scheme val="minor"/>
      <sz val="11"/>
      <name val="Calibri"/>
    </font>
    <font>
      <b/>
      <color rgb="FFFFFFFF"/>
      <sz val="12"/>
      <name val="Arial"/>
    </font>
    <font>
      <b/>
      <color rgb="FFFFFFFF"/>
      <sz val="10"/>
      <name val="Arial"/>
    </font>
    <font>
      <b/>
      <sz val="10"/>
      <name val="Arial"/>
    </font>
    <font>
      <sz val="10"/>
      <name val="Arial"/>
    </font>
    <font>
      <i/>
      <color rgb="FF7F4F00"/>
      <sz val="9"/>
      <name val="Arial"/>
    </font>
    <font>
      <color rgb="FF1B5E20"/>
      <sz val="9"/>
      <name val="Arial"/>
    </font>
    <font>
      <b/>
      <color rgb="FF1B5E20"/>
      <sz val="9"/>
      <name val="Arial"/>
    </font>
    <font>
      <b/>
      <color rgb="FF7F4F00"/>
      <sz val="9"/>
      <name val="Arial"/>
    </font>
    <font>
      <color rgb="FF7F4F00"/>
      <sz val="9"/>
      <name val="Arial"/>
    </font>
    <font>
      <b/>
      <sz val="9"/>
      <name val="Arial"/>
    </font>
    <font>
      <sz val="9"/>
      <name val="Arial"/>
    </font>
    <font>
      <i/>
      <sz val="9"/>
      <name val="Arial"/>
    </font>
    <font>
      <b/>
      <color rgb="FFFFFFFF"/>
      <sz val="11"/>
      <name val="Arial"/>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FFE699"/>
      </patternFill>
    </fill>
    <fill>
      <patternFill patternType="solid">
        <fgColor rgb="FFE8F5E9"/>
      </patternFill>
    </fill>
    <fill>
      <patternFill patternType="solid">
        <fgColor rgb="FFFFF8E1"/>
      </patternFill>
    </fill>
    <fill>
      <patternFill patternType="solid">
        <fgColor rgb="FFC00000"/>
      </patternFill>
    </fill>
    <fill>
      <patternFill patternType="solid">
        <fgColor rgb="FFF8F9FA"/>
      </patternFill>
    </fill>
    <fill>
      <patternFill patternType="solid">
        <fgColor rgb="FFFFF3CD"/>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0">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2" borderId="0" xfId="0" applyFont="1" applyFill="1" applyAlignment="1">
      <alignment horizontal="left" vertical="center" wrapText="1"/>
    </xf>
    <xf numFmtId="164" fontId="4" fillId="0" borderId="1" xfId="0" applyNumberFormat="1" applyFont="1" applyBorder="1" applyAlignment="1">
      <alignment horizontal="left" vertical="center" wrapText="1"/>
    </xf>
    <xf numFmtId="164" fontId="0" fillId="0" borderId="0" xfId="0" applyNumberFormat="1"/>
    <xf numFmtId="2" fontId="4" fillId="0" borderId="1" xfId="0" applyNumberFormat="1" applyFont="1" applyBorder="1" applyAlignment="1">
      <alignment horizontal="left" vertical="center" wrapText="1"/>
    </xf>
    <xf numFmtId="2" fontId="0" fillId="0" borderId="0" xfId="0" applyNumberFormat="1"/>
    <xf numFmtId="165" fontId="4" fillId="0" borderId="1" xfId="0" applyNumberFormat="1" applyFont="1" applyBorder="1" applyAlignment="1">
      <alignment horizontal="left" vertical="center" wrapText="1"/>
    </xf>
    <xf numFmtId="165" fontId="0" fillId="0" borderId="0" xfId="0" applyNumberFormat="1"/>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9" fillId="6" borderId="1" xfId="0" applyFont="1" applyFill="1" applyBorder="1" applyAlignment="1">
      <alignment horizontal="left" vertical="center" wrapText="1"/>
    </xf>
    <xf numFmtId="0" fontId="10" fillId="0" borderId="1" xfId="0" applyFont="1" applyBorder="1" applyAlignment="1">
      <alignment horizontal="left" vertical="center"/>
    </xf>
    <xf numFmtId="0" fontId="11" fillId="0" borderId="1" xfId="0" applyFont="1" applyBorder="1" applyAlignment="1">
      <alignment horizontal="left" vertical="center" wrapText="1"/>
    </xf>
    <xf numFmtId="0" fontId="1" fillId="7" borderId="1" xfId="0" applyFont="1" applyFill="1" applyBorder="1" applyAlignment="1">
      <alignment horizontal="center" vertical="center"/>
    </xf>
    <xf numFmtId="0" fontId="4" fillId="0" borderId="1" xfId="0" applyFont="1" applyBorder="1" applyAlignment="1">
      <alignment vertical="top" wrapText="1"/>
    </xf>
    <xf numFmtId="0" fontId="4" fillId="0" borderId="1" xfId="0" applyFont="1" applyBorder="1" applyAlignment="1">
      <alignment horizontal="center" vertical="top"/>
    </xf>
    <xf numFmtId="0" fontId="12" fillId="0" borderId="1" xfId="0" applyFont="1" applyBorder="1" applyAlignment="1">
      <alignment horizontal="left" vertical="center"/>
    </xf>
    <xf numFmtId="166" fontId="4" fillId="0" borderId="1" xfId="0" applyNumberFormat="1" applyFont="1" applyBorder="1" applyAlignment="1">
      <alignment horizontal="right" vertical="center" wrapText="1"/>
    </xf>
    <xf numFmtId="167" fontId="4" fillId="0" borderId="1" xfId="0" applyNumberFormat="1" applyFont="1" applyBorder="1" applyAlignment="1">
      <alignment horizontal="right"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166" fontId="4" fillId="8" borderId="1" xfId="0" applyNumberFormat="1" applyFont="1" applyFill="1" applyBorder="1" applyAlignment="1">
      <alignment horizontal="right" vertical="center" wrapText="1"/>
    </xf>
    <xf numFmtId="167" fontId="4" fillId="8"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xf numFmtId="167" fontId="2" fillId="3" borderId="1" xfId="0" applyNumberFormat="1" applyFont="1" applyFill="1" applyBorder="1" applyAlignment="1">
      <alignment horizontal="right" vertical="center"/>
    </xf>
    <xf numFmtId="0" fontId="13" fillId="2" borderId="1" xfId="0" applyFont="1" applyFill="1" applyBorder="1" applyAlignment="1">
      <alignment horizontal="right" vertical="center" wrapText="1"/>
    </xf>
    <xf numFmtId="167" fontId="13" fillId="2" borderId="1" xfId="0" applyNumberFormat="1" applyFont="1" applyFill="1" applyBorder="1" applyAlignment="1">
      <alignment horizontal="right" vertical="center"/>
    </xf>
    <xf numFmtId="167" fontId="4" fillId="9" borderId="1" xfId="0" applyNumberFormat="1" applyFont="1" applyFill="1" applyBorder="1" applyAlignment="1">
      <alignment horizontal="right" vertical="center" wrapText="1"/>
    </xf>
    <xf numFmtId="0" fontId="12" fillId="0" borderId="1" xfId="0" applyFont="1" applyBorder="1" applyAlignment="1">
      <alignment horizontal="center" vertical="center"/>
    </xf>
    <xf numFmtId="167" fontId="2" fillId="3" borderId="1" xfId="0" applyNumberFormat="1" applyFont="1" applyFill="1" applyBorder="1" applyAlignment="1">
      <alignment horizontal="right"/>
    </xf>
    <xf numFmtId="167" fontId="13" fillId="2"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0"/>
  <sheetFormatPr defaultRowHeight="15" outlineLevelRow="0" outlineLevelCol="0" x14ac:dyDescent="55"/>
  <cols>
    <col min="1" max="1" width="3" customWidth="1"/>
    <col min="2" max="2" width="16" customWidth="1"/>
    <col min="3" max="3" width="50" customWidth="1"/>
    <col min="4" max="7" width="5" customWidth="1"/>
    <col min="8" max="8" width="22" customWidth="1"/>
    <col min="9" max="9" width="3" customWidth="1"/>
  </cols>
  <sheetData>
    <row r="1" spans="1:1" x14ac:dyDescent="0.25"/>
    <row r="2" ht="30" customHeight="1" spans="1:8" x14ac:dyDescent="0.25">
      <c r="B2" s="1" t="s">
        <v>0</v>
      </c>
      <c r="C2"/>
      <c r="D2"/>
      <c r="E2"/>
      <c r="F2"/>
      <c r="G2"/>
      <c r="H2"/>
    </row>
    <row r="3" ht="30" customHeight="1" spans="1:8" x14ac:dyDescent="0.25">
      <c r="B3"/>
      <c r="C3"/>
      <c r="D3"/>
      <c r="E3"/>
      <c r="F3"/>
      <c r="G3"/>
      <c r="H3"/>
    </row>
    <row r="4" ht="24" customHeight="1" spans="1:8" x14ac:dyDescent="0.25">
      <c r="B4" s="2" t="s">
        <v>1</v>
      </c>
      <c r="C4"/>
      <c r="D4"/>
      <c r="E4"/>
      <c r="F4"/>
      <c r="G4"/>
      <c r="H4"/>
    </row>
    <row r="5" ht="24" customHeight="1" spans="1:8" x14ac:dyDescent="0.25">
      <c r="B5"/>
      <c r="C5"/>
      <c r="D5"/>
      <c r="E5"/>
      <c r="F5"/>
      <c r="G5"/>
      <c r="H5"/>
    </row>
    <row r="6" spans="1:1" x14ac:dyDescent="0.25"/>
    <row r="7" spans="1:8" x14ac:dyDescent="0.25">
      <c r="B7" s="3" t="s">
        <v>2</v>
      </c>
      <c r="C7" s="4" t="s">
        <v>3</v>
      </c>
      <c r="D7"/>
      <c r="E7"/>
      <c r="F7"/>
      <c r="G7"/>
      <c r="H7"/>
    </row>
    <row r="8" spans="1:8" x14ac:dyDescent="0.25">
      <c r="B8" s="3" t="s">
        <v>4</v>
      </c>
      <c r="C8" s="4" t="s">
        <v>5</v>
      </c>
      <c r="D8"/>
      <c r="E8"/>
      <c r="F8"/>
      <c r="G8"/>
      <c r="H8"/>
    </row>
    <row r="9" spans="1:8" x14ac:dyDescent="0.25">
      <c r="B9" s="3" t="s">
        <v>6</v>
      </c>
      <c r="C9" s="4" t="s">
        <v>7</v>
      </c>
      <c r="D9"/>
      <c r="E9"/>
      <c r="F9"/>
      <c r="G9"/>
      <c r="H9"/>
    </row>
    <row r="10" spans="1:8" x14ac:dyDescent="0.25">
      <c r="B10" s="3" t="s">
        <v>8</v>
      </c>
      <c r="C10" s="4" t="s">
        <v>9</v>
      </c>
      <c r="D10"/>
      <c r="E10"/>
      <c r="F10"/>
      <c r="G10"/>
      <c r="H10"/>
    </row>
    <row r="11" spans="1:8" x14ac:dyDescent="0.25">
      <c r="B11" s="3" t="s">
        <v>10</v>
      </c>
      <c r="C11" s="4" t="s">
        <v>11</v>
      </c>
      <c r="D11"/>
      <c r="E11"/>
      <c r="F11"/>
      <c r="G11"/>
      <c r="H11"/>
    </row>
    <row r="12" spans="1:8" x14ac:dyDescent="0.25">
      <c r="B12" s="3" t="s">
        <v>12</v>
      </c>
      <c r="C12" s="4" t="s">
        <v>13</v>
      </c>
      <c r="D12"/>
      <c r="E12"/>
      <c r="F12"/>
      <c r="G12"/>
      <c r="H12"/>
    </row>
    <row r="13" spans="1:8" x14ac:dyDescent="0.25">
      <c r="B13" s="3" t="s">
        <v>14</v>
      </c>
      <c r="C13" s="4" t="s">
        <v>15</v>
      </c>
      <c r="D13"/>
      <c r="E13"/>
      <c r="F13"/>
      <c r="G13"/>
      <c r="H13"/>
    </row>
    <row r="14" spans="1:1" x14ac:dyDescent="0.25"/>
    <row r="15" spans="1:8" x14ac:dyDescent="0.25">
      <c r="B15" s="5" t="s">
        <v>16</v>
      </c>
      <c r="C15"/>
      <c r="D15"/>
      <c r="E15"/>
      <c r="F15"/>
      <c r="G15"/>
      <c r="H15"/>
    </row>
    <row r="16" spans="1:8" x14ac:dyDescent="0.25">
      <c r="B16" s="3" t="s">
        <v>17</v>
      </c>
      <c r="C16" s="4" t="s">
        <v>18</v>
      </c>
      <c r="D16"/>
      <c r="E16"/>
      <c r="F16"/>
      <c r="G16"/>
      <c r="H16"/>
    </row>
    <row r="17" spans="1:8" x14ac:dyDescent="0.25">
      <c r="B17" s="3" t="s">
        <v>19</v>
      </c>
      <c r="C17" s="4" t="s">
        <v>20</v>
      </c>
      <c r="D17"/>
      <c r="E17"/>
      <c r="F17"/>
      <c r="G17"/>
      <c r="H17"/>
    </row>
    <row r="18" spans="1:8" x14ac:dyDescent="0.25">
      <c r="B18" s="3" t="s">
        <v>21</v>
      </c>
      <c r="C18" s="4" t="s">
        <v>22</v>
      </c>
      <c r="D18"/>
      <c r="E18"/>
      <c r="F18"/>
      <c r="G18"/>
      <c r="H18"/>
    </row>
    <row r="19" spans="1:8" x14ac:dyDescent="0.25">
      <c r="B19" s="3" t="s">
        <v>23</v>
      </c>
      <c r="C19" s="4" t="s">
        <v>24</v>
      </c>
      <c r="D19"/>
      <c r="E19"/>
      <c r="F19"/>
      <c r="G19"/>
      <c r="H19"/>
    </row>
    <row r="20" spans="1:8" x14ac:dyDescent="0.25">
      <c r="B20" s="3" t="s">
        <v>25</v>
      </c>
      <c r="C20" s="4" t="s">
        <v>26</v>
      </c>
      <c r="D20"/>
      <c r="E20"/>
      <c r="F20"/>
      <c r="G20"/>
      <c r="H20"/>
    </row>
    <row r="21" spans="1:8" x14ac:dyDescent="0.25">
      <c r="B21" s="3" t="s">
        <v>27</v>
      </c>
      <c r="C21" s="4" t="s">
        <v>28</v>
      </c>
      <c r="D21"/>
      <c r="E21"/>
      <c r="F21"/>
      <c r="G21"/>
      <c r="H21"/>
    </row>
    <row r="22" spans="1:8" x14ac:dyDescent="0.25">
      <c r="B22" s="3" t="s">
        <v>29</v>
      </c>
      <c r="C22" s="4" t="s">
        <v>30</v>
      </c>
      <c r="D22"/>
      <c r="E22"/>
      <c r="F22"/>
      <c r="G22"/>
      <c r="H22"/>
    </row>
    <row r="23" spans="1:8" x14ac:dyDescent="0.25">
      <c r="B23" s="3" t="s">
        <v>31</v>
      </c>
      <c r="C23" s="4" t="s">
        <v>32</v>
      </c>
      <c r="D23"/>
      <c r="E23"/>
      <c r="F23"/>
      <c r="G23"/>
      <c r="H23"/>
    </row>
    <row r="24" spans="1:1" x14ac:dyDescent="0.25"/>
    <row r="25" spans="1:8" x14ac:dyDescent="0.25">
      <c r="B25" s="5" t="s">
        <v>33</v>
      </c>
      <c r="C25"/>
      <c r="D25"/>
      <c r="E25"/>
      <c r="F25"/>
      <c r="G25"/>
      <c r="H25"/>
    </row>
    <row r="26" spans="1:8" x14ac:dyDescent="0.25">
      <c r="B26" s="3" t="s">
        <v>34</v>
      </c>
      <c r="C26" s="4" t="s">
        <v>35</v>
      </c>
      <c r="D26"/>
      <c r="E26"/>
      <c r="F26"/>
      <c r="G26"/>
      <c r="H26"/>
    </row>
    <row r="27" spans="1:8" x14ac:dyDescent="0.25">
      <c r="B27" s="3" t="s">
        <v>36</v>
      </c>
      <c r="C27" s="4" t="s">
        <v>37</v>
      </c>
      <c r="D27"/>
      <c r="E27"/>
      <c r="F27"/>
      <c r="G27"/>
      <c r="H27"/>
    </row>
    <row r="28" spans="1:8" x14ac:dyDescent="0.25">
      <c r="B28" s="3" t="s">
        <v>38</v>
      </c>
      <c r="C28" s="4" t="s">
        <v>39</v>
      </c>
      <c r="D28"/>
      <c r="E28"/>
      <c r="F28"/>
      <c r="G28"/>
      <c r="H28"/>
    </row>
    <row r="29" spans="1:8" x14ac:dyDescent="0.25">
      <c r="B29" s="3" t="s">
        <v>40</v>
      </c>
      <c r="C29" s="4" t="s">
        <v>41</v>
      </c>
      <c r="D29"/>
      <c r="E29"/>
      <c r="F29"/>
      <c r="G29"/>
      <c r="H29"/>
    </row>
    <row r="30" spans="1:8" x14ac:dyDescent="0.25">
      <c r="B30" s="3" t="s">
        <v>42</v>
      </c>
      <c r="C30" s="4" t="s">
        <v>43</v>
      </c>
      <c r="D30"/>
      <c r="E30"/>
      <c r="F30"/>
      <c r="G30"/>
      <c r="H30"/>
    </row>
    <row r="31" spans="1:1" x14ac:dyDescent="0.25"/>
    <row r="32" spans="1:8" x14ac:dyDescent="0.25">
      <c r="B32" s="5" t="s">
        <v>44</v>
      </c>
      <c r="C32"/>
      <c r="D32"/>
      <c r="E32"/>
      <c r="F32"/>
      <c r="G32"/>
      <c r="H32"/>
    </row>
    <row r="33" spans="1:8" x14ac:dyDescent="0.25">
      <c r="B33" s="3" t="s">
        <v>45</v>
      </c>
      <c r="C33" s="6">
        <v>2117.06</v>
      </c>
      <c r="D33" s="7"/>
      <c r="E33" s="7"/>
      <c r="F33" s="7"/>
      <c r="G33" s="7"/>
      <c r="H33" s="7"/>
    </row>
    <row r="34" spans="1:8" x14ac:dyDescent="0.25">
      <c r="B34" s="3" t="s">
        <v>46</v>
      </c>
      <c r="C34" s="8">
        <v>0.7542771579454526</v>
      </c>
      <c r="D34" s="9"/>
      <c r="E34" s="9"/>
      <c r="F34" s="9"/>
      <c r="G34" s="9"/>
      <c r="H34" s="9"/>
    </row>
    <row r="35" spans="1:8" x14ac:dyDescent="0.25">
      <c r="B35" s="3" t="s">
        <v>47</v>
      </c>
      <c r="C35" s="10">
        <f>ROUND(C33*C34,0)</f>
        <v>1597</v>
      </c>
      <c r="D35" s="11"/>
      <c r="E35" s="11"/>
      <c r="F35" s="11"/>
      <c r="G35" s="11"/>
      <c r="H35" s="11"/>
    </row>
    <row r="36" spans="1:1" x14ac:dyDescent="0.25"/>
    <row r="37" spans="1:8" x14ac:dyDescent="0.25">
      <c r="B37" s="5" t="s">
        <v>48</v>
      </c>
      <c r="C37"/>
      <c r="D37"/>
      <c r="E37"/>
      <c r="F37"/>
      <c r="G37"/>
      <c r="H37"/>
    </row>
    <row r="38" spans="1:8" x14ac:dyDescent="0.25">
      <c r="B38" s="12" t="s">
        <v>49</v>
      </c>
      <c r="C38" s="12" t="s">
        <v>50</v>
      </c>
      <c r="D38"/>
      <c r="E38"/>
      <c r="F38"/>
      <c r="G38"/>
      <c r="H38" s="12" t="s">
        <v>51</v>
      </c>
    </row>
    <row r="39" spans="1:8" x14ac:dyDescent="0.25">
      <c r="B39" s="13">
        <v>1</v>
      </c>
      <c r="C39" s="4" t="s">
        <v>52</v>
      </c>
      <c r="D39"/>
      <c r="E39"/>
      <c r="F39"/>
      <c r="G39"/>
      <c r="H39" s="13" t="s">
        <v>53</v>
      </c>
    </row>
    <row r="40" spans="1:8" x14ac:dyDescent="0.25">
      <c r="B40" s="13">
        <v>2</v>
      </c>
      <c r="C40" s="4" t="s">
        <v>54</v>
      </c>
      <c r="D40"/>
      <c r="E40"/>
      <c r="F40"/>
      <c r="G40"/>
      <c r="H40" s="13" t="s">
        <v>55</v>
      </c>
    </row>
    <row r="41" spans="1:8" x14ac:dyDescent="0.25">
      <c r="B41" s="13">
        <v>3</v>
      </c>
      <c r="C41" s="4" t="s">
        <v>56</v>
      </c>
      <c r="D41"/>
      <c r="E41"/>
      <c r="F41"/>
      <c r="G41"/>
      <c r="H41" s="13" t="s">
        <v>57</v>
      </c>
    </row>
    <row r="42" spans="1:8" x14ac:dyDescent="0.25">
      <c r="B42" s="13">
        <v>4</v>
      </c>
      <c r="C42" s="4" t="s">
        <v>58</v>
      </c>
      <c r="D42"/>
      <c r="E42"/>
      <c r="F42"/>
      <c r="G42"/>
      <c r="H42" s="13" t="s">
        <v>59</v>
      </c>
    </row>
    <row r="43" spans="1:8" x14ac:dyDescent="0.25">
      <c r="B43" s="13">
        <v>5</v>
      </c>
      <c r="C43" s="4" t="s">
        <v>60</v>
      </c>
      <c r="D43"/>
      <c r="E43"/>
      <c r="F43"/>
      <c r="G43"/>
      <c r="H43" s="13" t="s">
        <v>61</v>
      </c>
    </row>
    <row r="44" spans="1:8" x14ac:dyDescent="0.25">
      <c r="B44" s="13">
        <v>6</v>
      </c>
      <c r="C44" s="4" t="s">
        <v>62</v>
      </c>
      <c r="D44"/>
      <c r="E44"/>
      <c r="F44"/>
      <c r="G44"/>
      <c r="H44" s="13" t="s">
        <v>63</v>
      </c>
    </row>
    <row r="45" spans="1:8" x14ac:dyDescent="0.25">
      <c r="B45" s="13">
        <v>7</v>
      </c>
      <c r="C45" s="4" t="s">
        <v>64</v>
      </c>
      <c r="D45"/>
      <c r="E45"/>
      <c r="F45"/>
      <c r="G45"/>
      <c r="H45" s="13" t="s">
        <v>65</v>
      </c>
    </row>
    <row r="46" spans="1:8" x14ac:dyDescent="0.25">
      <c r="B46" s="13">
        <v>8</v>
      </c>
      <c r="C46" s="4" t="s">
        <v>66</v>
      </c>
      <c r="D46"/>
      <c r="E46"/>
      <c r="F46"/>
      <c r="G46"/>
      <c r="H46" s="13" t="s">
        <v>67</v>
      </c>
    </row>
    <row r="47" spans="1:8" x14ac:dyDescent="0.25">
      <c r="B47" s="13">
        <v>9</v>
      </c>
      <c r="C47" s="4" t="s">
        <v>68</v>
      </c>
      <c r="D47"/>
      <c r="E47"/>
      <c r="F47"/>
      <c r="G47"/>
      <c r="H47" s="13" t="s">
        <v>69</v>
      </c>
    </row>
    <row r="48" spans="1:8" x14ac:dyDescent="0.25">
      <c r="B48" s="13">
        <v>10</v>
      </c>
      <c r="C48" s="4" t="s">
        <v>70</v>
      </c>
      <c r="D48"/>
      <c r="E48"/>
      <c r="F48"/>
      <c r="G48"/>
      <c r="H48" s="13" t="s">
        <v>71</v>
      </c>
    </row>
    <row r="49" spans="1:8" x14ac:dyDescent="0.25">
      <c r="B49" s="13">
        <v>11</v>
      </c>
      <c r="C49" s="4" t="s">
        <v>72</v>
      </c>
      <c r="D49"/>
      <c r="E49"/>
      <c r="F49"/>
      <c r="G49"/>
      <c r="H49" s="13" t="s">
        <v>73</v>
      </c>
    </row>
    <row r="50" spans="1:8" x14ac:dyDescent="0.25">
      <c r="B50" s="13">
        <v>12</v>
      </c>
      <c r="C50" s="4" t="s">
        <v>74</v>
      </c>
      <c r="D50"/>
      <c r="E50"/>
      <c r="F50"/>
      <c r="G50"/>
      <c r="H50" s="13" t="s">
        <v>75</v>
      </c>
    </row>
    <row r="51" spans="1:8" x14ac:dyDescent="0.25">
      <c r="B51" s="13">
        <v>13</v>
      </c>
      <c r="C51" s="4" t="s">
        <v>76</v>
      </c>
      <c r="D51"/>
      <c r="E51"/>
      <c r="F51"/>
      <c r="G51"/>
      <c r="H51" s="13" t="s">
        <v>77</v>
      </c>
    </row>
    <row r="52" spans="1:1" x14ac:dyDescent="0.25"/>
    <row r="53" spans="1:8" x14ac:dyDescent="0.25">
      <c r="B53" s="5" t="s">
        <v>78</v>
      </c>
      <c r="C53"/>
      <c r="D53"/>
      <c r="E53"/>
      <c r="F53"/>
      <c r="G53"/>
      <c r="H53"/>
    </row>
    <row r="54" ht="32" customHeight="1" spans="1:8" x14ac:dyDescent="0.25">
      <c r="B54" s="14" t="s">
        <v>79</v>
      </c>
      <c r="C54"/>
      <c r="D54"/>
      <c r="E54"/>
      <c r="F54"/>
      <c r="G54"/>
      <c r="H54"/>
    </row>
    <row r="55" ht="32" customHeight="1" spans="1:8" x14ac:dyDescent="0.25">
      <c r="B55" s="14" t="s">
        <v>80</v>
      </c>
      <c r="C55"/>
      <c r="D55"/>
      <c r="E55"/>
      <c r="F55"/>
      <c r="G55"/>
      <c r="H55"/>
    </row>
    <row r="56" ht="32" customHeight="1" spans="1:8" x14ac:dyDescent="0.25">
      <c r="B56" s="14" t="s">
        <v>81</v>
      </c>
      <c r="C56"/>
      <c r="D56"/>
      <c r="E56"/>
      <c r="F56"/>
      <c r="G56"/>
      <c r="H56"/>
    </row>
    <row r="57" ht="32" customHeight="1" spans="1:8" x14ac:dyDescent="0.25">
      <c r="B57" s="14" t="s">
        <v>82</v>
      </c>
      <c r="C57"/>
      <c r="D57"/>
      <c r="E57"/>
      <c r="F57"/>
      <c r="G57"/>
      <c r="H57"/>
    </row>
    <row r="58" ht="32" customHeight="1" spans="1:8" x14ac:dyDescent="0.25">
      <c r="B58" s="14" t="s">
        <v>83</v>
      </c>
      <c r="C58"/>
      <c r="D58"/>
      <c r="E58"/>
      <c r="F58"/>
      <c r="G58"/>
      <c r="H58"/>
    </row>
    <row r="59" spans="1:1" x14ac:dyDescent="0.25"/>
    <row r="60" spans="1:8" x14ac:dyDescent="0.25">
      <c r="B60" s="5" t="s">
        <v>84</v>
      </c>
      <c r="C60"/>
      <c r="D60"/>
      <c r="E60"/>
      <c r="F60"/>
      <c r="G60"/>
      <c r="H60"/>
    </row>
    <row r="61" ht="32" customHeight="1" spans="1:8" x14ac:dyDescent="0.25">
      <c r="B61" s="15" t="s">
        <v>85</v>
      </c>
      <c r="C61"/>
      <c r="D61"/>
      <c r="E61"/>
      <c r="F61"/>
      <c r="G61"/>
      <c r="H61"/>
    </row>
    <row r="62" ht="32" customHeight="1" spans="1:8" x14ac:dyDescent="0.25">
      <c r="B62" s="15" t="s">
        <v>86</v>
      </c>
      <c r="C62"/>
      <c r="D62"/>
      <c r="E62"/>
      <c r="F62"/>
      <c r="G62"/>
      <c r="H62"/>
    </row>
    <row r="63" ht="32" customHeight="1" spans="1:8" x14ac:dyDescent="0.25">
      <c r="B63" s="15" t="s">
        <v>87</v>
      </c>
      <c r="C63"/>
      <c r="D63"/>
      <c r="E63"/>
      <c r="F63"/>
      <c r="G63"/>
      <c r="H63"/>
    </row>
    <row r="64" ht="32" customHeight="1" spans="1:8" x14ac:dyDescent="0.25">
      <c r="B64" s="15" t="s">
        <v>88</v>
      </c>
      <c r="C64"/>
      <c r="D64"/>
      <c r="E64"/>
      <c r="F64"/>
      <c r="G64"/>
      <c r="H64"/>
    </row>
    <row r="65" ht="32" customHeight="1" spans="1:8" x14ac:dyDescent="0.25">
      <c r="B65" s="15" t="s">
        <v>89</v>
      </c>
      <c r="C65"/>
      <c r="D65"/>
      <c r="E65"/>
      <c r="F65"/>
      <c r="G65"/>
      <c r="H65"/>
    </row>
    <row r="66" ht="32" customHeight="1" spans="1:8" x14ac:dyDescent="0.25">
      <c r="B66" s="15" t="s">
        <v>90</v>
      </c>
      <c r="C66"/>
      <c r="D66"/>
      <c r="E66"/>
      <c r="F66"/>
      <c r="G66"/>
      <c r="H66"/>
    </row>
    <row r="67" ht="32" customHeight="1" spans="1:8" x14ac:dyDescent="0.25">
      <c r="B67" s="15" t="s">
        <v>91</v>
      </c>
      <c r="C67"/>
      <c r="D67"/>
      <c r="E67"/>
      <c r="F67"/>
      <c r="G67"/>
      <c r="H67"/>
    </row>
    <row r="68" ht="32" customHeight="1" spans="1:8" x14ac:dyDescent="0.25">
      <c r="B68" s="15" t="s">
        <v>92</v>
      </c>
      <c r="C68"/>
      <c r="D68"/>
      <c r="E68"/>
      <c r="F68"/>
      <c r="G68"/>
      <c r="H68"/>
    </row>
    <row r="69" ht="32" customHeight="1" spans="1:8" x14ac:dyDescent="0.25">
      <c r="B69" s="15" t="s">
        <v>93</v>
      </c>
      <c r="C69"/>
      <c r="D69"/>
      <c r="E69"/>
      <c r="F69"/>
      <c r="G69"/>
      <c r="H69"/>
    </row>
    <row r="70" spans="1:1" x14ac:dyDescent="0.25"/>
    <row r="71" spans="1:8" x14ac:dyDescent="0.25">
      <c r="B71" s="5" t="s">
        <v>94</v>
      </c>
      <c r="C71"/>
      <c r="D71"/>
      <c r="E71"/>
      <c r="F71"/>
      <c r="G71"/>
      <c r="H71"/>
    </row>
    <row r="72" ht="22" customHeight="1" spans="1:8" x14ac:dyDescent="0.25">
      <c r="B72" s="16" t="s">
        <v>95</v>
      </c>
      <c r="C72" s="15" t="s">
        <v>96</v>
      </c>
      <c r="D72"/>
      <c r="E72"/>
      <c r="F72"/>
      <c r="G72"/>
      <c r="H72"/>
    </row>
    <row r="73" ht="28" customHeight="1" spans="1:8" x14ac:dyDescent="0.25">
      <c r="B73" s="17" t="s">
        <v>97</v>
      </c>
      <c r="C73" s="18" t="s">
        <v>98</v>
      </c>
      <c r="D73"/>
      <c r="E73"/>
      <c r="F73"/>
      <c r="G73"/>
      <c r="H73"/>
    </row>
    <row r="74" spans="1:8" x14ac:dyDescent="0.25">
      <c r="B74" s="12" t="s">
        <v>49</v>
      </c>
      <c r="C74" s="12" t="s">
        <v>50</v>
      </c>
      <c r="D74" s="12" t="s">
        <v>99</v>
      </c>
      <c r="E74" s="12" t="s">
        <v>100</v>
      </c>
      <c r="F74"/>
      <c r="G74"/>
      <c r="H74"/>
    </row>
    <row r="75" ht="18" customHeight="1" spans="1:8" x14ac:dyDescent="0.25">
      <c r="B75" s="19" t="s">
        <v>53</v>
      </c>
      <c r="C75" s="20" t="s">
        <v>101</v>
      </c>
      <c r="D75" s="17" t="s">
        <v>102</v>
      </c>
      <c r="E75" s="20" t="s">
        <v>103</v>
      </c>
      <c r="F75"/>
      <c r="G75"/>
      <c r="H75"/>
    </row>
    <row r="76" ht="18" customHeight="1" spans="1:8" x14ac:dyDescent="0.25">
      <c r="B76" s="19" t="s">
        <v>104</v>
      </c>
      <c r="C76" s="20" t="s">
        <v>105</v>
      </c>
      <c r="D76" s="17" t="s">
        <v>102</v>
      </c>
      <c r="E76" s="20" t="s">
        <v>106</v>
      </c>
      <c r="F76"/>
      <c r="G76"/>
      <c r="H76"/>
    </row>
    <row r="77" ht="18" customHeight="1" spans="1:8" x14ac:dyDescent="0.25">
      <c r="B77" s="19" t="s">
        <v>107</v>
      </c>
      <c r="C77" s="20" t="s">
        <v>108</v>
      </c>
      <c r="D77" s="16" t="s">
        <v>109</v>
      </c>
      <c r="E77" s="20" t="s">
        <v>110</v>
      </c>
      <c r="F77"/>
      <c r="G77"/>
      <c r="H77"/>
    </row>
    <row r="78" ht="18" customHeight="1" spans="1:8" x14ac:dyDescent="0.25">
      <c r="B78" s="19" t="s">
        <v>111</v>
      </c>
      <c r="C78" s="20" t="s">
        <v>112</v>
      </c>
      <c r="D78" s="16" t="s">
        <v>109</v>
      </c>
      <c r="E78" s="20" t="s">
        <v>113</v>
      </c>
      <c r="F78"/>
      <c r="G78"/>
      <c r="H78"/>
    </row>
    <row r="79" ht="18" customHeight="1" spans="1:8" x14ac:dyDescent="0.25">
      <c r="B79" s="19" t="s">
        <v>57</v>
      </c>
      <c r="C79" s="20" t="s">
        <v>114</v>
      </c>
      <c r="D79" s="16" t="s">
        <v>109</v>
      </c>
      <c r="E79" s="20" t="s">
        <v>115</v>
      </c>
      <c r="F79"/>
      <c r="G79"/>
      <c r="H79"/>
    </row>
    <row r="80" ht="18" customHeight="1" spans="1:8" x14ac:dyDescent="0.25">
      <c r="B80" s="19" t="s">
        <v>59</v>
      </c>
      <c r="C80" s="20" t="s">
        <v>116</v>
      </c>
      <c r="D80" s="16" t="s">
        <v>109</v>
      </c>
      <c r="E80" s="20" t="s">
        <v>117</v>
      </c>
      <c r="F80"/>
      <c r="G80"/>
      <c r="H80"/>
    </row>
    <row r="81" ht="18" customHeight="1" spans="1:8" x14ac:dyDescent="0.25">
      <c r="B81" s="19" t="s">
        <v>118</v>
      </c>
      <c r="C81" s="20" t="s">
        <v>119</v>
      </c>
      <c r="D81" s="16" t="s">
        <v>109</v>
      </c>
      <c r="E81" s="20" t="s">
        <v>120</v>
      </c>
      <c r="F81"/>
      <c r="G81"/>
      <c r="H81"/>
    </row>
    <row r="82" ht="18" customHeight="1" spans="1:8" x14ac:dyDescent="0.25">
      <c r="B82" s="19" t="s">
        <v>121</v>
      </c>
      <c r="C82" s="20" t="s">
        <v>122</v>
      </c>
      <c r="D82" s="16" t="s">
        <v>109</v>
      </c>
      <c r="E82" s="20" t="s">
        <v>123</v>
      </c>
      <c r="F82"/>
      <c r="G82"/>
      <c r="H82"/>
    </row>
    <row r="83" ht="18" customHeight="1" spans="1:8" x14ac:dyDescent="0.25">
      <c r="B83" s="19" t="s">
        <v>124</v>
      </c>
      <c r="C83" s="20" t="s">
        <v>125</v>
      </c>
      <c r="D83" s="16" t="s">
        <v>109</v>
      </c>
      <c r="E83" s="20" t="s">
        <v>126</v>
      </c>
      <c r="F83"/>
      <c r="G83"/>
      <c r="H83"/>
    </row>
    <row r="84" ht="18" customHeight="1" spans="1:8" x14ac:dyDescent="0.25">
      <c r="B84" s="19" t="s">
        <v>127</v>
      </c>
      <c r="C84" s="20" t="s">
        <v>128</v>
      </c>
      <c r="D84" s="16" t="s">
        <v>109</v>
      </c>
      <c r="E84" s="20" t="s">
        <v>129</v>
      </c>
      <c r="F84"/>
      <c r="G84"/>
      <c r="H84"/>
    </row>
    <row r="85" ht="18" customHeight="1" spans="1:8" x14ac:dyDescent="0.25">
      <c r="B85" s="19" t="s">
        <v>130</v>
      </c>
      <c r="C85" s="20" t="s">
        <v>131</v>
      </c>
      <c r="D85" s="17" t="s">
        <v>102</v>
      </c>
      <c r="E85" s="20" t="s">
        <v>132</v>
      </c>
      <c r="F85"/>
      <c r="G85"/>
      <c r="H85"/>
    </row>
    <row r="86" ht="18" customHeight="1" spans="1:8" x14ac:dyDescent="0.25">
      <c r="B86" s="19" t="s">
        <v>133</v>
      </c>
      <c r="C86" s="20" t="s">
        <v>134</v>
      </c>
      <c r="D86" s="17" t="s">
        <v>102</v>
      </c>
      <c r="E86" s="20" t="s">
        <v>135</v>
      </c>
      <c r="F86"/>
      <c r="G86"/>
      <c r="H86"/>
    </row>
    <row r="87" ht="18" customHeight="1" spans="1:8" x14ac:dyDescent="0.25">
      <c r="B87" s="19" t="s">
        <v>136</v>
      </c>
      <c r="C87" s="20" t="s">
        <v>137</v>
      </c>
      <c r="D87" s="17" t="s">
        <v>102</v>
      </c>
      <c r="E87" s="20" t="s">
        <v>138</v>
      </c>
      <c r="F87"/>
      <c r="G87"/>
      <c r="H87"/>
    </row>
    <row r="88" ht="18" customHeight="1" spans="1:8" x14ac:dyDescent="0.25">
      <c r="B88" s="19" t="s">
        <v>63</v>
      </c>
      <c r="C88" s="20" t="s">
        <v>139</v>
      </c>
      <c r="D88" s="17" t="s">
        <v>102</v>
      </c>
      <c r="E88" s="20" t="s">
        <v>140</v>
      </c>
      <c r="F88"/>
      <c r="G88"/>
      <c r="H88"/>
    </row>
    <row r="89" ht="18" customHeight="1" spans="1:8" x14ac:dyDescent="0.25">
      <c r="B89" s="19" t="s">
        <v>65</v>
      </c>
      <c r="C89" s="20" t="s">
        <v>141</v>
      </c>
      <c r="D89" s="17" t="s">
        <v>102</v>
      </c>
      <c r="E89" s="20" t="s">
        <v>142</v>
      </c>
      <c r="F89"/>
      <c r="G89"/>
      <c r="H89"/>
    </row>
    <row r="90" ht="18" customHeight="1" spans="1:8" x14ac:dyDescent="0.25">
      <c r="B90" s="19" t="s">
        <v>67</v>
      </c>
      <c r="C90" s="20" t="s">
        <v>143</v>
      </c>
      <c r="D90" s="17" t="s">
        <v>102</v>
      </c>
      <c r="E90" s="20" t="s">
        <v>144</v>
      </c>
      <c r="F90"/>
      <c r="G90"/>
      <c r="H90"/>
    </row>
    <row r="91" ht="18" customHeight="1" spans="1:8" x14ac:dyDescent="0.25">
      <c r="B91" s="19" t="s">
        <v>69</v>
      </c>
      <c r="C91" s="20" t="s">
        <v>68</v>
      </c>
      <c r="D91" s="17" t="s">
        <v>102</v>
      </c>
      <c r="E91" s="20" t="s">
        <v>145</v>
      </c>
      <c r="F91"/>
      <c r="G91"/>
      <c r="H91"/>
    </row>
    <row r="92" ht="18" customHeight="1" spans="1:8" x14ac:dyDescent="0.25">
      <c r="B92" s="19" t="s">
        <v>146</v>
      </c>
      <c r="C92" s="20" t="s">
        <v>147</v>
      </c>
      <c r="D92" s="17" t="s">
        <v>102</v>
      </c>
      <c r="E92" s="20" t="s">
        <v>148</v>
      </c>
      <c r="F92"/>
      <c r="G92"/>
      <c r="H92"/>
    </row>
    <row r="93" ht="18" customHeight="1" spans="1:8" x14ac:dyDescent="0.25">
      <c r="B93" s="19" t="s">
        <v>149</v>
      </c>
      <c r="C93" s="20" t="s">
        <v>150</v>
      </c>
      <c r="D93" s="17" t="s">
        <v>102</v>
      </c>
      <c r="E93" s="20" t="s">
        <v>151</v>
      </c>
      <c r="F93"/>
      <c r="G93"/>
      <c r="H93"/>
    </row>
    <row r="94" ht="18" customHeight="1" spans="1:8" x14ac:dyDescent="0.25">
      <c r="B94" s="19" t="s">
        <v>152</v>
      </c>
      <c r="C94" s="20" t="s">
        <v>153</v>
      </c>
      <c r="D94" s="17" t="s">
        <v>102</v>
      </c>
      <c r="E94" s="20" t="s">
        <v>154</v>
      </c>
      <c r="F94"/>
      <c r="G94"/>
      <c r="H94"/>
    </row>
    <row r="95" ht="18" customHeight="1" spans="1:8" x14ac:dyDescent="0.25">
      <c r="B95" s="19" t="s">
        <v>155</v>
      </c>
      <c r="C95" s="20" t="s">
        <v>156</v>
      </c>
      <c r="D95" s="17" t="s">
        <v>102</v>
      </c>
      <c r="E95" s="20" t="s">
        <v>157</v>
      </c>
      <c r="F95"/>
      <c r="G95"/>
      <c r="H95"/>
    </row>
    <row r="96" ht="18" customHeight="1" spans="1:8" x14ac:dyDescent="0.25">
      <c r="B96" s="19" t="s">
        <v>73</v>
      </c>
      <c r="C96" s="20" t="s">
        <v>158</v>
      </c>
      <c r="D96" s="17" t="s">
        <v>102</v>
      </c>
      <c r="E96" s="20" t="s">
        <v>159</v>
      </c>
      <c r="F96"/>
      <c r="G96"/>
      <c r="H96"/>
    </row>
    <row r="97" ht="18" customHeight="1" spans="1:8" x14ac:dyDescent="0.25">
      <c r="B97" s="19" t="s">
        <v>75</v>
      </c>
      <c r="C97" s="20" t="s">
        <v>160</v>
      </c>
      <c r="D97" s="17" t="s">
        <v>102</v>
      </c>
      <c r="E97" s="20" t="s">
        <v>161</v>
      </c>
      <c r="F97"/>
      <c r="G97"/>
      <c r="H97"/>
    </row>
    <row r="98" ht="18" customHeight="1" spans="1:8" x14ac:dyDescent="0.25">
      <c r="B98" s="19" t="s">
        <v>77</v>
      </c>
      <c r="C98" s="20" t="s">
        <v>162</v>
      </c>
      <c r="D98" s="17" t="s">
        <v>102</v>
      </c>
      <c r="E98" s="20" t="s">
        <v>163</v>
      </c>
      <c r="F98"/>
      <c r="G98"/>
      <c r="H98"/>
    </row>
    <row r="99" spans="1:1" x14ac:dyDescent="0.25"/>
    <row r="100" ht="24" customHeight="1" spans="1:8" x14ac:dyDescent="0.25">
      <c r="B100" s="21" t="s">
        <v>164</v>
      </c>
      <c r="C100"/>
      <c r="D100"/>
      <c r="E100"/>
      <c r="F100"/>
      <c r="G100"/>
      <c r="H100"/>
    </row>
  </sheetData>
  <mergeCells count="88">
    <mergeCell ref="B2:H3"/>
    <mergeCell ref="B4:H5"/>
    <mergeCell ref="C7:H7"/>
    <mergeCell ref="C8:H8"/>
    <mergeCell ref="C9:H9"/>
    <mergeCell ref="C10:H10"/>
    <mergeCell ref="C11:H11"/>
    <mergeCell ref="C12:H12"/>
    <mergeCell ref="C13:H13"/>
    <mergeCell ref="B15:H15"/>
    <mergeCell ref="C16:H16"/>
    <mergeCell ref="C17:H17"/>
    <mergeCell ref="C18:H18"/>
    <mergeCell ref="C19:H19"/>
    <mergeCell ref="C20:H20"/>
    <mergeCell ref="C21:H21"/>
    <mergeCell ref="C22:H22"/>
    <mergeCell ref="C23:H23"/>
    <mergeCell ref="B25:H25"/>
    <mergeCell ref="C26:H26"/>
    <mergeCell ref="C27:H27"/>
    <mergeCell ref="C28:H28"/>
    <mergeCell ref="C29:H29"/>
    <mergeCell ref="C30:H30"/>
    <mergeCell ref="B32:H32"/>
    <mergeCell ref="C33:H33"/>
    <mergeCell ref="C34:H34"/>
    <mergeCell ref="C35:H35"/>
    <mergeCell ref="B37:H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B53:H53"/>
    <mergeCell ref="B54:H54"/>
    <mergeCell ref="B55:H55"/>
    <mergeCell ref="B56:H56"/>
    <mergeCell ref="B57:H57"/>
    <mergeCell ref="B58:H58"/>
    <mergeCell ref="B60:H60"/>
    <mergeCell ref="B61:H61"/>
    <mergeCell ref="B62:H62"/>
    <mergeCell ref="B63:H63"/>
    <mergeCell ref="B64:H64"/>
    <mergeCell ref="B65:H65"/>
    <mergeCell ref="B66:H66"/>
    <mergeCell ref="B67:H67"/>
    <mergeCell ref="B68:H68"/>
    <mergeCell ref="B69:H69"/>
    <mergeCell ref="B71:H71"/>
    <mergeCell ref="C72:H72"/>
    <mergeCell ref="C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2:H92"/>
    <mergeCell ref="E93:H93"/>
    <mergeCell ref="E94:H94"/>
    <mergeCell ref="E95:H95"/>
    <mergeCell ref="E96:H96"/>
    <mergeCell ref="E97:H97"/>
    <mergeCell ref="E98:H98"/>
    <mergeCell ref="B100:H100"/>
  </mergeCells>
  <printOptions horizontalCentered="1"/>
  <pageMargins left="0.4" right="0.4" top="0.5" bottom="0.5"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4"/>
  <sheetFormatPr defaultRowHeight="15" outlineLevelRow="0" outlineLevelCol="0" x14ac:dyDescent="55"/>
  <cols>
    <col min="1" max="1" width="3" customWidth="1"/>
    <col min="2" max="2" width="30" customWidth="1"/>
    <col min="3" max="3" width="90" customWidth="1"/>
    <col min="4" max="4" width="3" customWidth="1"/>
  </cols>
  <sheetData>
    <row r="1" spans="1:1" x14ac:dyDescent="0.25"/>
    <row r="2" ht="27.75" customHeight="1" spans="1:3" x14ac:dyDescent="0.25">
      <c r="B2" s="1" t="s">
        <v>165</v>
      </c>
      <c r="C2"/>
    </row>
    <row r="3" spans="1:1" x14ac:dyDescent="0.25"/>
    <row r="4" spans="1:3" x14ac:dyDescent="0.25">
      <c r="B4" s="5" t="s">
        <v>166</v>
      </c>
      <c r="C4"/>
    </row>
    <row r="5" ht="50" customHeight="1" spans="1:3" x14ac:dyDescent="0.25">
      <c r="B5" s="22" t="s">
        <v>167</v>
      </c>
      <c r="C5"/>
    </row>
    <row r="6" spans="1:3" x14ac:dyDescent="0.25">
      <c r="B6" s="12" t="s">
        <v>14</v>
      </c>
      <c r="C6" s="12" t="s">
        <v>168</v>
      </c>
    </row>
    <row r="7" ht="54" customHeight="1" spans="1:3" x14ac:dyDescent="0.25">
      <c r="B7" s="3" t="s">
        <v>169</v>
      </c>
      <c r="C7" s="22" t="s">
        <v>170</v>
      </c>
    </row>
    <row r="8" ht="36" customHeight="1" spans="1:3" x14ac:dyDescent="0.25">
      <c r="B8" s="3" t="s">
        <v>171</v>
      </c>
      <c r="C8" s="22" t="s">
        <v>172</v>
      </c>
    </row>
    <row r="9" ht="54" customHeight="1" spans="1:3" x14ac:dyDescent="0.25">
      <c r="B9" s="3" t="s">
        <v>173</v>
      </c>
      <c r="C9" s="22" t="s">
        <v>174</v>
      </c>
    </row>
    <row r="10" ht="36" customHeight="1" spans="1:3" x14ac:dyDescent="0.25">
      <c r="B10" s="3" t="s">
        <v>175</v>
      </c>
      <c r="C10" s="22" t="s">
        <v>176</v>
      </c>
    </row>
    <row r="11" spans="1:1" x14ac:dyDescent="0.25"/>
    <row r="12" spans="1:3" x14ac:dyDescent="0.25">
      <c r="B12" s="5" t="s">
        <v>177</v>
      </c>
      <c r="C12"/>
    </row>
    <row r="13" ht="80" customHeight="1" spans="1:3" x14ac:dyDescent="0.25">
      <c r="B13" s="22" t="s">
        <v>178</v>
      </c>
      <c r="C13"/>
    </row>
    <row r="14" spans="1:1" x14ac:dyDescent="0.25"/>
    <row r="15" spans="1:3" x14ac:dyDescent="0.25">
      <c r="B15" s="5" t="s">
        <v>179</v>
      </c>
      <c r="C15"/>
    </row>
    <row r="16" spans="1:3" x14ac:dyDescent="0.25">
      <c r="B16" s="12" t="s">
        <v>180</v>
      </c>
      <c r="C16" s="12" t="s">
        <v>50</v>
      </c>
    </row>
    <row r="17" spans="1:3" x14ac:dyDescent="0.25">
      <c r="B17" s="4" t="s">
        <v>169</v>
      </c>
      <c r="C17" s="4" t="s">
        <v>181</v>
      </c>
    </row>
    <row r="18" spans="1:3" x14ac:dyDescent="0.25">
      <c r="B18" s="4" t="s">
        <v>182</v>
      </c>
      <c r="C18" s="4" t="s">
        <v>183</v>
      </c>
    </row>
    <row r="19" spans="1:3" x14ac:dyDescent="0.25">
      <c r="B19" s="4" t="s">
        <v>184</v>
      </c>
      <c r="C19" s="4" t="s">
        <v>185</v>
      </c>
    </row>
    <row r="20" spans="1:3" x14ac:dyDescent="0.25">
      <c r="B20" s="4" t="s">
        <v>186</v>
      </c>
      <c r="C20" s="4" t="s">
        <v>187</v>
      </c>
    </row>
    <row r="21" spans="1:3" x14ac:dyDescent="0.25">
      <c r="B21" s="4" t="s">
        <v>173</v>
      </c>
      <c r="C21" s="4" t="s">
        <v>188</v>
      </c>
    </row>
    <row r="22" spans="1:3" x14ac:dyDescent="0.25">
      <c r="B22" s="4" t="s">
        <v>189</v>
      </c>
      <c r="C22" s="4" t="s">
        <v>190</v>
      </c>
    </row>
    <row r="23" spans="1:3" x14ac:dyDescent="0.25">
      <c r="B23" s="4" t="s">
        <v>191</v>
      </c>
      <c r="C23" s="4" t="s">
        <v>192</v>
      </c>
    </row>
    <row r="24" spans="1:3" x14ac:dyDescent="0.25">
      <c r="B24" s="4" t="s">
        <v>193</v>
      </c>
      <c r="C24" s="4" t="s">
        <v>194</v>
      </c>
    </row>
    <row r="25" spans="1:3" x14ac:dyDescent="0.25">
      <c r="B25" s="4" t="s">
        <v>195</v>
      </c>
      <c r="C25" s="4" t="s">
        <v>196</v>
      </c>
    </row>
    <row r="26" spans="1:3" x14ac:dyDescent="0.25">
      <c r="B26" s="4" t="s">
        <v>197</v>
      </c>
      <c r="C26" s="4" t="s">
        <v>198</v>
      </c>
    </row>
    <row r="27" spans="1:3" x14ac:dyDescent="0.25">
      <c r="B27" s="4" t="s">
        <v>199</v>
      </c>
      <c r="C27" s="4" t="s">
        <v>200</v>
      </c>
    </row>
    <row r="28" spans="1:3" x14ac:dyDescent="0.25">
      <c r="B28" s="4" t="s">
        <v>201</v>
      </c>
      <c r="C28" s="4" t="s">
        <v>202</v>
      </c>
    </row>
    <row r="29" spans="1:3" x14ac:dyDescent="0.25">
      <c r="B29" s="4" t="s">
        <v>203</v>
      </c>
      <c r="C29" s="4" t="s">
        <v>204</v>
      </c>
    </row>
    <row r="30" spans="1:3" x14ac:dyDescent="0.25">
      <c r="B30" s="4" t="s">
        <v>205</v>
      </c>
      <c r="C30" s="4" t="s">
        <v>206</v>
      </c>
    </row>
    <row r="31" spans="1:3" x14ac:dyDescent="0.25">
      <c r="B31" s="4" t="s">
        <v>207</v>
      </c>
      <c r="C31" s="4" t="s">
        <v>208</v>
      </c>
    </row>
    <row r="32" spans="1:3" x14ac:dyDescent="0.25">
      <c r="B32" s="4" t="s">
        <v>209</v>
      </c>
      <c r="C32" s="4" t="s">
        <v>210</v>
      </c>
    </row>
    <row r="33" spans="1:3" x14ac:dyDescent="0.25">
      <c r="B33" s="4" t="s">
        <v>211</v>
      </c>
      <c r="C33" s="4" t="s">
        <v>212</v>
      </c>
    </row>
    <row r="34" spans="1:3" x14ac:dyDescent="0.25">
      <c r="B34" s="4" t="s">
        <v>213</v>
      </c>
      <c r="C34" s="4" t="s">
        <v>214</v>
      </c>
    </row>
    <row r="35" spans="1:3" x14ac:dyDescent="0.25">
      <c r="B35" s="4" t="s">
        <v>215</v>
      </c>
      <c r="C35" s="4" t="s">
        <v>216</v>
      </c>
    </row>
    <row r="36" spans="1:1" x14ac:dyDescent="0.25"/>
    <row r="37" spans="1:3" x14ac:dyDescent="0.25">
      <c r="B37" s="5" t="s">
        <v>217</v>
      </c>
      <c r="C37"/>
    </row>
    <row r="38" spans="1:3" x14ac:dyDescent="0.25">
      <c r="B38" s="12" t="s">
        <v>218</v>
      </c>
      <c r="C38" s="12" t="s">
        <v>219</v>
      </c>
    </row>
    <row r="39" spans="1:3" x14ac:dyDescent="0.25">
      <c r="B39" s="4" t="s">
        <v>220</v>
      </c>
      <c r="C39" s="4" t="s">
        <v>221</v>
      </c>
    </row>
    <row r="40" spans="1:3" x14ac:dyDescent="0.25">
      <c r="B40" s="4" t="s">
        <v>222</v>
      </c>
      <c r="C40" s="4" t="s">
        <v>223</v>
      </c>
    </row>
    <row r="41" spans="1:3" x14ac:dyDescent="0.25">
      <c r="B41" s="4" t="s">
        <v>224</v>
      </c>
      <c r="C41" s="4" t="s">
        <v>225</v>
      </c>
    </row>
    <row r="42" spans="1:3" x14ac:dyDescent="0.25">
      <c r="B42" s="4" t="s">
        <v>226</v>
      </c>
      <c r="C42" s="4" t="s">
        <v>227</v>
      </c>
    </row>
    <row r="43" spans="1:3" x14ac:dyDescent="0.25">
      <c r="B43" s="4" t="s">
        <v>228</v>
      </c>
      <c r="C43" s="4" t="s">
        <v>229</v>
      </c>
    </row>
    <row r="44" spans="1:3" x14ac:dyDescent="0.25">
      <c r="B44" s="4" t="s">
        <v>230</v>
      </c>
      <c r="C44" s="4" t="s">
        <v>231</v>
      </c>
    </row>
    <row r="45" spans="1:3" x14ac:dyDescent="0.25">
      <c r="B45" s="4" t="s">
        <v>232</v>
      </c>
      <c r="C45" s="4" t="s">
        <v>233</v>
      </c>
    </row>
    <row r="46" spans="1:3" x14ac:dyDescent="0.25">
      <c r="B46" s="4" t="s">
        <v>234</v>
      </c>
      <c r="C46" s="4" t="s">
        <v>235</v>
      </c>
    </row>
    <row r="47" spans="1:3" x14ac:dyDescent="0.25">
      <c r="B47" s="4" t="s">
        <v>236</v>
      </c>
      <c r="C47" s="4" t="s">
        <v>237</v>
      </c>
    </row>
    <row r="48" spans="1:3" x14ac:dyDescent="0.25">
      <c r="B48" s="4" t="s">
        <v>238</v>
      </c>
      <c r="C48" s="4" t="s">
        <v>239</v>
      </c>
    </row>
    <row r="49" spans="1:3" x14ac:dyDescent="0.25">
      <c r="B49" s="4" t="s">
        <v>240</v>
      </c>
      <c r="C49" s="4" t="s">
        <v>241</v>
      </c>
    </row>
    <row r="50" spans="1:3" x14ac:dyDescent="0.25">
      <c r="B50" s="4" t="s">
        <v>242</v>
      </c>
      <c r="C50" s="4" t="s">
        <v>243</v>
      </c>
    </row>
    <row r="51" spans="1:3" x14ac:dyDescent="0.25">
      <c r="B51" s="4" t="s">
        <v>244</v>
      </c>
      <c r="C51" s="4" t="s">
        <v>245</v>
      </c>
    </row>
    <row r="52" spans="1:3" x14ac:dyDescent="0.25">
      <c r="B52" s="4" t="s">
        <v>246</v>
      </c>
      <c r="C52" s="4" t="s">
        <v>247</v>
      </c>
    </row>
    <row r="53" spans="1:3" x14ac:dyDescent="0.25">
      <c r="B53" s="4" t="s">
        <v>248</v>
      </c>
      <c r="C53" s="4" t="s">
        <v>249</v>
      </c>
    </row>
    <row r="54" spans="1:3" x14ac:dyDescent="0.25">
      <c r="B54" s="4" t="s">
        <v>250</v>
      </c>
      <c r="C54" s="4" t="s">
        <v>251</v>
      </c>
    </row>
    <row r="55" spans="1:3" x14ac:dyDescent="0.25">
      <c r="B55" s="4" t="s">
        <v>252</v>
      </c>
      <c r="C55" s="4" t="s">
        <v>253</v>
      </c>
    </row>
    <row r="56" spans="1:3" x14ac:dyDescent="0.25">
      <c r="B56" s="4" t="s">
        <v>254</v>
      </c>
      <c r="C56" s="4" t="s">
        <v>255</v>
      </c>
    </row>
    <row r="57" spans="1:3" x14ac:dyDescent="0.25">
      <c r="B57" s="4" t="s">
        <v>256</v>
      </c>
      <c r="C57" s="4" t="s">
        <v>257</v>
      </c>
    </row>
    <row r="58" spans="1:3" x14ac:dyDescent="0.25">
      <c r="B58" s="4" t="s">
        <v>258</v>
      </c>
      <c r="C58" s="4" t="s">
        <v>259</v>
      </c>
    </row>
    <row r="59" spans="1:3" x14ac:dyDescent="0.25">
      <c r="B59" s="4" t="s">
        <v>260</v>
      </c>
      <c r="C59" s="4" t="s">
        <v>46</v>
      </c>
    </row>
    <row r="60" spans="1:3" x14ac:dyDescent="0.25">
      <c r="B60" s="4" t="s">
        <v>261</v>
      </c>
      <c r="C60" s="4" t="s">
        <v>262</v>
      </c>
    </row>
    <row r="61" spans="1:3" x14ac:dyDescent="0.25">
      <c r="B61" s="4" t="s">
        <v>263</v>
      </c>
      <c r="C61" s="4" t="s">
        <v>264</v>
      </c>
    </row>
    <row r="62" spans="1:3" x14ac:dyDescent="0.25">
      <c r="B62" s="4" t="s">
        <v>265</v>
      </c>
      <c r="C62" s="4" t="s">
        <v>266</v>
      </c>
    </row>
    <row r="63" spans="1:3" x14ac:dyDescent="0.25">
      <c r="B63" s="4" t="s">
        <v>267</v>
      </c>
      <c r="C63" s="4" t="s">
        <v>268</v>
      </c>
    </row>
    <row r="64" spans="1:3" x14ac:dyDescent="0.25">
      <c r="B64" s="4" t="s">
        <v>269</v>
      </c>
      <c r="C64" s="4" t="s">
        <v>270</v>
      </c>
    </row>
    <row r="65" spans="1:1" x14ac:dyDescent="0.25"/>
    <row r="66" spans="1:1" x14ac:dyDescent="0.25"/>
    <row r="67" spans="1:3" x14ac:dyDescent="0.25">
      <c r="B67" s="5" t="s">
        <v>271</v>
      </c>
      <c r="C67"/>
    </row>
    <row r="68" ht="32" customHeight="1" spans="1:3" x14ac:dyDescent="0.25">
      <c r="B68" s="23" t="s">
        <v>272</v>
      </c>
      <c r="C68" s="22" t="s">
        <v>273</v>
      </c>
    </row>
    <row r="69" ht="32" customHeight="1" spans="1:3" x14ac:dyDescent="0.25">
      <c r="B69" s="23" t="s">
        <v>274</v>
      </c>
      <c r="C69" s="22" t="s">
        <v>275</v>
      </c>
    </row>
    <row r="70" ht="20" customHeight="1" spans="1:3" x14ac:dyDescent="0.25">
      <c r="B70" s="23" t="s">
        <v>276</v>
      </c>
      <c r="C70" s="22" t="s">
        <v>277</v>
      </c>
    </row>
    <row r="71" ht="32" customHeight="1" spans="1:3" x14ac:dyDescent="0.25">
      <c r="B71" s="23" t="s">
        <v>278</v>
      </c>
      <c r="C71" s="22" t="s">
        <v>279</v>
      </c>
    </row>
    <row r="72" ht="32" customHeight="1" spans="1:3" x14ac:dyDescent="0.25">
      <c r="B72" s="23" t="s">
        <v>280</v>
      </c>
      <c r="C72" s="22" t="s">
        <v>281</v>
      </c>
    </row>
    <row r="73" ht="32" customHeight="1" spans="1:3" x14ac:dyDescent="0.25">
      <c r="B73" s="23" t="s">
        <v>282</v>
      </c>
      <c r="C73" s="22" t="s">
        <v>283</v>
      </c>
    </row>
    <row r="74" ht="32" customHeight="1" spans="1:3" x14ac:dyDescent="0.25">
      <c r="B74" s="23" t="s">
        <v>284</v>
      </c>
      <c r="C74" s="22" t="s">
        <v>285</v>
      </c>
    </row>
  </sheetData>
  <mergeCells count="8">
    <mergeCell ref="B2:C2"/>
    <mergeCell ref="B4:C4"/>
    <mergeCell ref="B5:C5"/>
    <mergeCell ref="B12:C12"/>
    <mergeCell ref="B13:C13"/>
    <mergeCell ref="B15:C15"/>
    <mergeCell ref="B37:C37"/>
    <mergeCell ref="B67:C67"/>
  </mergeCells>
  <printOptions horizontalCentered="1"/>
  <pageSetup paperSize="9"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286</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295</v>
      </c>
      <c r="B4"/>
      <c r="C4"/>
      <c r="D4"/>
      <c r="E4"/>
      <c r="F4"/>
      <c r="G4"/>
      <c r="H4"/>
    </row>
    <row r="5" ht="32" customHeight="1" spans="1:8" x14ac:dyDescent="0.25">
      <c r="A5" s="3" t="s">
        <v>296</v>
      </c>
      <c r="B5" s="4" t="s">
        <v>297</v>
      </c>
      <c r="C5" s="4" t="s">
        <v>298</v>
      </c>
      <c r="D5" s="13" t="s">
        <v>299</v>
      </c>
      <c r="E5" s="25">
        <v>1</v>
      </c>
      <c r="F5" s="26">
        <v>125000</v>
      </c>
      <c r="G5" s="26">
        <f>IF(OR(E5="",F5=""),"",E5*F5)</f>
      </c>
      <c r="H5" s="4" t="s">
        <v>300</v>
      </c>
    </row>
    <row r="6" ht="32" customHeight="1" spans="1:8" x14ac:dyDescent="0.25">
      <c r="A6" s="27" t="s">
        <v>301</v>
      </c>
      <c r="B6" s="28" t="s">
        <v>302</v>
      </c>
      <c r="C6" s="28" t="s">
        <v>298</v>
      </c>
      <c r="D6" s="29" t="s">
        <v>299</v>
      </c>
      <c r="E6" s="30">
        <v>1</v>
      </c>
      <c r="F6" s="31">
        <v>85000</v>
      </c>
      <c r="G6" s="31">
        <f>IF(OR(E6="",F6=""),"",E6*F6)</f>
      </c>
      <c r="H6" s="28" t="s">
        <v>300</v>
      </c>
    </row>
    <row r="7" ht="32" customHeight="1" spans="1:8" x14ac:dyDescent="0.25">
      <c r="A7" s="3" t="s">
        <v>303</v>
      </c>
      <c r="B7" s="4" t="s">
        <v>304</v>
      </c>
      <c r="C7" s="4" t="s">
        <v>298</v>
      </c>
      <c r="D7" s="13" t="s">
        <v>299</v>
      </c>
      <c r="E7" s="25">
        <v>1</v>
      </c>
      <c r="F7" s="26">
        <v>35000</v>
      </c>
      <c r="G7" s="26">
        <f>IF(OR(E7="",F7=""),"",E7*F7)</f>
      </c>
      <c r="H7" s="4" t="s">
        <v>300</v>
      </c>
    </row>
    <row r="8" ht="32" customHeight="1" spans="1:8" x14ac:dyDescent="0.25">
      <c r="A8" s="27" t="s">
        <v>305</v>
      </c>
      <c r="B8" s="28" t="s">
        <v>306</v>
      </c>
      <c r="C8" s="28" t="s">
        <v>298</v>
      </c>
      <c r="D8" s="29" t="s">
        <v>299</v>
      </c>
      <c r="E8" s="30">
        <v>1</v>
      </c>
      <c r="F8" s="31">
        <v>18000</v>
      </c>
      <c r="G8" s="31">
        <f>IF(OR(E8="",F8=""),"",E8*F8)</f>
      </c>
      <c r="H8" s="28" t="s">
        <v>300</v>
      </c>
    </row>
    <row r="9" ht="32" customHeight="1" spans="1:8" x14ac:dyDescent="0.25">
      <c r="A9" s="3" t="s">
        <v>307</v>
      </c>
      <c r="B9" s="4" t="s">
        <v>308</v>
      </c>
      <c r="C9" s="4" t="s">
        <v>298</v>
      </c>
      <c r="D9" s="13" t="s">
        <v>299</v>
      </c>
      <c r="E9" s="25">
        <v>1</v>
      </c>
      <c r="F9" s="26">
        <v>25000</v>
      </c>
      <c r="G9" s="26">
        <f>IF(OR(E9="",F9=""),"",E9*F9)</f>
      </c>
      <c r="H9" s="4" t="s">
        <v>300</v>
      </c>
    </row>
    <row r="10" ht="19.5" customHeight="1" spans="1:8" x14ac:dyDescent="0.25">
      <c r="A10" s="32" t="s">
        <v>309</v>
      </c>
      <c r="B10"/>
      <c r="C10"/>
      <c r="D10"/>
      <c r="E10"/>
      <c r="F10"/>
      <c r="G10" s="33">
        <f>SUM(G5:G9)</f>
      </c>
      <c r="H10" s="32" t="s">
        <v>310</v>
      </c>
    </row>
    <row r="11" spans="1:1" x14ac:dyDescent="0.25"/>
    <row r="12" ht="19.5" customHeight="1" spans="1:8" x14ac:dyDescent="0.25">
      <c r="A12" s="5" t="s">
        <v>311</v>
      </c>
      <c r="B12"/>
      <c r="C12"/>
      <c r="D12"/>
      <c r="E12"/>
      <c r="F12"/>
      <c r="G12"/>
      <c r="H12"/>
    </row>
    <row r="13" ht="32" customHeight="1" spans="1:8" x14ac:dyDescent="0.25">
      <c r="A13" s="3" t="s">
        <v>312</v>
      </c>
      <c r="B13" s="4" t="s">
        <v>313</v>
      </c>
      <c r="C13" s="4" t="s">
        <v>298</v>
      </c>
      <c r="D13" s="13" t="s">
        <v>299</v>
      </c>
      <c r="E13" s="25">
        <v>1</v>
      </c>
      <c r="F13" s="26">
        <v>85000</v>
      </c>
      <c r="G13" s="26">
        <f>IF(OR(E13="",F13=""),"",E13*F13)</f>
      </c>
      <c r="H13" s="4" t="s">
        <v>300</v>
      </c>
    </row>
    <row r="14" ht="18" customHeight="1" spans="1:8" x14ac:dyDescent="0.25">
      <c r="A14" s="27" t="s">
        <v>314</v>
      </c>
      <c r="B14" s="28" t="s">
        <v>315</v>
      </c>
      <c r="C14" s="28" t="s">
        <v>298</v>
      </c>
      <c r="D14" s="29" t="s">
        <v>299</v>
      </c>
      <c r="E14" s="30">
        <v>1</v>
      </c>
      <c r="F14" s="31">
        <v>45000</v>
      </c>
      <c r="G14" s="31">
        <f>IF(OR(E14="",F14=""),"",E14*F14)</f>
      </c>
      <c r="H14" s="28" t="s">
        <v>300</v>
      </c>
    </row>
    <row r="15" ht="32" customHeight="1" spans="1:8" x14ac:dyDescent="0.25">
      <c r="A15" s="3" t="s">
        <v>316</v>
      </c>
      <c r="B15" s="4" t="s">
        <v>317</v>
      </c>
      <c r="C15" s="4" t="s">
        <v>298</v>
      </c>
      <c r="D15" s="13" t="s">
        <v>299</v>
      </c>
      <c r="E15" s="25">
        <v>1</v>
      </c>
      <c r="F15" s="26">
        <v>18000</v>
      </c>
      <c r="G15" s="26">
        <f>IF(OR(E15="",F15=""),"",E15*F15)</f>
      </c>
      <c r="H15" s="4" t="s">
        <v>300</v>
      </c>
    </row>
    <row r="16" ht="18" customHeight="1" spans="1:8" x14ac:dyDescent="0.25">
      <c r="A16" s="27" t="s">
        <v>318</v>
      </c>
      <c r="B16" s="28" t="s">
        <v>319</v>
      </c>
      <c r="C16" s="28" t="s">
        <v>298</v>
      </c>
      <c r="D16" s="29" t="s">
        <v>299</v>
      </c>
      <c r="E16" s="30">
        <v>1</v>
      </c>
      <c r="F16" s="31">
        <v>12000</v>
      </c>
      <c r="G16" s="31">
        <f>IF(OR(E16="",F16=""),"",E16*F16)</f>
      </c>
      <c r="H16" s="28" t="s">
        <v>300</v>
      </c>
    </row>
    <row r="17" ht="19.5" customHeight="1" spans="1:8" x14ac:dyDescent="0.25">
      <c r="A17" s="32" t="s">
        <v>320</v>
      </c>
      <c r="B17"/>
      <c r="C17"/>
      <c r="D17"/>
      <c r="E17"/>
      <c r="F17"/>
      <c r="G17" s="33">
        <f>SUM(G13:G16)</f>
      </c>
      <c r="H17" s="32" t="s">
        <v>310</v>
      </c>
    </row>
    <row r="18" spans="1:1" x14ac:dyDescent="0.25"/>
    <row r="19" ht="19.5" customHeight="1" spans="1:8" x14ac:dyDescent="0.25">
      <c r="A19" s="5" t="s">
        <v>321</v>
      </c>
      <c r="B19"/>
      <c r="C19"/>
      <c r="D19"/>
      <c r="E19"/>
      <c r="F19"/>
      <c r="G19"/>
      <c r="H19"/>
    </row>
    <row r="20" ht="32" customHeight="1" spans="1:8" x14ac:dyDescent="0.25">
      <c r="A20" s="3" t="s">
        <v>322</v>
      </c>
      <c r="B20" s="4" t="s">
        <v>323</v>
      </c>
      <c r="C20" s="4" t="s">
        <v>298</v>
      </c>
      <c r="D20" s="13" t="s">
        <v>299</v>
      </c>
      <c r="E20" s="25">
        <v>1</v>
      </c>
      <c r="F20" s="26">
        <v>85000</v>
      </c>
      <c r="G20" s="26">
        <f>IF(OR(E20="",F20=""),"",E20*F20)</f>
      </c>
      <c r="H20" s="4" t="s">
        <v>300</v>
      </c>
    </row>
    <row r="21" ht="18" customHeight="1" spans="1:8" x14ac:dyDescent="0.25">
      <c r="A21" s="27" t="s">
        <v>324</v>
      </c>
      <c r="B21" s="28" t="s">
        <v>325</v>
      </c>
      <c r="C21" s="28" t="s">
        <v>298</v>
      </c>
      <c r="D21" s="29" t="s">
        <v>299</v>
      </c>
      <c r="E21" s="30">
        <v>1</v>
      </c>
      <c r="F21" s="31">
        <v>25000</v>
      </c>
      <c r="G21" s="31">
        <f>IF(OR(E21="",F21=""),"",E21*F21)</f>
      </c>
      <c r="H21" s="28" t="s">
        <v>300</v>
      </c>
    </row>
    <row r="22" ht="46" customHeight="1" spans="1:8" x14ac:dyDescent="0.25">
      <c r="A22" s="3" t="s">
        <v>326</v>
      </c>
      <c r="B22" s="4" t="s">
        <v>327</v>
      </c>
      <c r="C22" s="4" t="s">
        <v>298</v>
      </c>
      <c r="D22" s="13" t="s">
        <v>299</v>
      </c>
      <c r="E22" s="25">
        <v>1</v>
      </c>
      <c r="F22" s="26">
        <v>5500</v>
      </c>
      <c r="G22" s="26">
        <f>IF(OR(E22="",F22=""),"",E22*F22)</f>
      </c>
      <c r="H22" s="4" t="s">
        <v>300</v>
      </c>
    </row>
    <row r="23" ht="19.5" customHeight="1" spans="1:8" x14ac:dyDescent="0.25">
      <c r="A23" s="32" t="s">
        <v>328</v>
      </c>
      <c r="B23"/>
      <c r="C23"/>
      <c r="D23"/>
      <c r="E23"/>
      <c r="F23"/>
      <c r="G23" s="33">
        <f>SUM(G20:G22)</f>
      </c>
      <c r="H23" s="32" t="s">
        <v>310</v>
      </c>
    </row>
    <row r="24" spans="1:1" x14ac:dyDescent="0.25"/>
    <row r="25" ht="19.5" customHeight="1" spans="1:8" x14ac:dyDescent="0.25">
      <c r="A25" s="5" t="s">
        <v>329</v>
      </c>
      <c r="B25"/>
      <c r="C25"/>
      <c r="D25"/>
      <c r="E25"/>
      <c r="F25"/>
      <c r="G25"/>
      <c r="H25"/>
    </row>
    <row r="26" ht="18" customHeight="1" spans="1:8" x14ac:dyDescent="0.25">
      <c r="A26" s="3" t="s">
        <v>330</v>
      </c>
      <c r="B26" s="4" t="s">
        <v>331</v>
      </c>
      <c r="C26" s="4" t="s">
        <v>298</v>
      </c>
      <c r="D26" s="13" t="s">
        <v>299</v>
      </c>
      <c r="E26" s="25">
        <v>1</v>
      </c>
      <c r="F26" s="26">
        <v>85000</v>
      </c>
      <c r="G26" s="26">
        <f>IF(OR(E26="",F26=""),"",E26*F26)</f>
      </c>
      <c r="H26" s="4" t="s">
        <v>300</v>
      </c>
    </row>
    <row r="27" ht="32" customHeight="1" spans="1:8" x14ac:dyDescent="0.25">
      <c r="A27" s="27" t="s">
        <v>332</v>
      </c>
      <c r="B27" s="28" t="s">
        <v>333</v>
      </c>
      <c r="C27" s="28" t="s">
        <v>298</v>
      </c>
      <c r="D27" s="29" t="s">
        <v>299</v>
      </c>
      <c r="E27" s="30">
        <v>1</v>
      </c>
      <c r="F27" s="31">
        <v>35000</v>
      </c>
      <c r="G27" s="31">
        <f>IF(OR(E27="",F27=""),"",E27*F27)</f>
      </c>
      <c r="H27" s="28" t="s">
        <v>300</v>
      </c>
    </row>
    <row r="28" ht="18" customHeight="1" spans="1:8" x14ac:dyDescent="0.25">
      <c r="A28" s="3" t="s">
        <v>334</v>
      </c>
      <c r="B28" s="4" t="s">
        <v>335</v>
      </c>
      <c r="C28" s="4" t="s">
        <v>298</v>
      </c>
      <c r="D28" s="13" t="s">
        <v>299</v>
      </c>
      <c r="E28" s="25">
        <v>1</v>
      </c>
      <c r="F28" s="26">
        <v>45000</v>
      </c>
      <c r="G28" s="26">
        <f>IF(OR(E28="",F28=""),"",E28*F28)</f>
      </c>
      <c r="H28" s="4" t="s">
        <v>300</v>
      </c>
    </row>
    <row r="29" ht="32" customHeight="1" spans="1:8" x14ac:dyDescent="0.25">
      <c r="A29" s="27" t="s">
        <v>336</v>
      </c>
      <c r="B29" s="28" t="s">
        <v>337</v>
      </c>
      <c r="C29" s="28" t="s">
        <v>298</v>
      </c>
      <c r="D29" s="29" t="s">
        <v>299</v>
      </c>
      <c r="E29" s="30">
        <v>1</v>
      </c>
      <c r="F29" s="31">
        <v>38000</v>
      </c>
      <c r="G29" s="31">
        <f>IF(OR(E29="",F29=""),"",E29*F29)</f>
      </c>
      <c r="H29" s="28" t="s">
        <v>300</v>
      </c>
    </row>
    <row r="30" ht="32" customHeight="1" spans="1:8" x14ac:dyDescent="0.25">
      <c r="A30" s="3" t="s">
        <v>338</v>
      </c>
      <c r="B30" s="4" t="s">
        <v>339</v>
      </c>
      <c r="C30" s="4" t="s">
        <v>298</v>
      </c>
      <c r="D30" s="13" t="s">
        <v>299</v>
      </c>
      <c r="E30" s="25">
        <v>1</v>
      </c>
      <c r="F30" s="26">
        <v>12000</v>
      </c>
      <c r="G30" s="26">
        <f>IF(OR(E30="",F30=""),"",E30*F30)</f>
      </c>
      <c r="H30" s="4" t="s">
        <v>300</v>
      </c>
    </row>
    <row r="31" ht="19.5" customHeight="1" spans="1:8" x14ac:dyDescent="0.25">
      <c r="A31" s="32" t="s">
        <v>340</v>
      </c>
      <c r="B31"/>
      <c r="C31"/>
      <c r="D31"/>
      <c r="E31"/>
      <c r="F31"/>
      <c r="G31" s="33">
        <f>SUM(G26:G30)</f>
      </c>
      <c r="H31" s="32" t="s">
        <v>310</v>
      </c>
    </row>
    <row r="32" spans="1:1" x14ac:dyDescent="0.25"/>
    <row r="33" ht="19.5" customHeight="1" spans="1:8" x14ac:dyDescent="0.25">
      <c r="A33" s="5" t="s">
        <v>341</v>
      </c>
      <c r="B33"/>
      <c r="C33"/>
      <c r="D33"/>
      <c r="E33"/>
      <c r="F33"/>
      <c r="G33"/>
      <c r="H33"/>
    </row>
    <row r="34" ht="32" customHeight="1" spans="1:8" x14ac:dyDescent="0.25">
      <c r="A34" s="3" t="s">
        <v>342</v>
      </c>
      <c r="B34" s="4" t="s">
        <v>343</v>
      </c>
      <c r="C34" s="4" t="s">
        <v>344</v>
      </c>
      <c r="D34" s="13" t="s">
        <v>299</v>
      </c>
      <c r="E34" s="25">
        <v>1</v>
      </c>
      <c r="F34" s="26">
        <v>350000</v>
      </c>
      <c r="G34" s="26">
        <f>IF(OR(E34="",F34=""),"",E34*F34)</f>
      </c>
      <c r="H34" s="4" t="s">
        <v>345</v>
      </c>
    </row>
    <row r="35" ht="32" customHeight="1" spans="1:8" x14ac:dyDescent="0.25">
      <c r="A35" s="27" t="s">
        <v>346</v>
      </c>
      <c r="B35" s="28" t="s">
        <v>347</v>
      </c>
      <c r="C35" s="28" t="s">
        <v>344</v>
      </c>
      <c r="D35" s="29" t="s">
        <v>299</v>
      </c>
      <c r="E35" s="30">
        <v>1</v>
      </c>
      <c r="F35" s="31">
        <v>8000</v>
      </c>
      <c r="G35" s="31">
        <f>IF(OR(E35="",F35=""),"",E35*F35)</f>
      </c>
      <c r="H35" s="28" t="s">
        <v>345</v>
      </c>
    </row>
    <row r="36" ht="32" customHeight="1" spans="1:8" x14ac:dyDescent="0.25">
      <c r="A36" s="3" t="s">
        <v>348</v>
      </c>
      <c r="B36" s="4" t="s">
        <v>349</v>
      </c>
      <c r="C36" s="4" t="s">
        <v>344</v>
      </c>
      <c r="D36" s="13" t="s">
        <v>299</v>
      </c>
      <c r="E36" s="25">
        <v>1</v>
      </c>
      <c r="F36" s="26">
        <v>12000</v>
      </c>
      <c r="G36" s="26">
        <f>IF(OR(E36="",F36=""),"",E36*F36)</f>
      </c>
      <c r="H36" s="4" t="s">
        <v>345</v>
      </c>
    </row>
    <row r="37" ht="32" customHeight="1" spans="1:8" x14ac:dyDescent="0.25">
      <c r="A37" s="27" t="s">
        <v>350</v>
      </c>
      <c r="B37" s="28" t="s">
        <v>351</v>
      </c>
      <c r="C37" s="28" t="s">
        <v>344</v>
      </c>
      <c r="D37" s="29" t="s">
        <v>299</v>
      </c>
      <c r="E37" s="30">
        <v>1</v>
      </c>
      <c r="F37" s="31">
        <v>45000</v>
      </c>
      <c r="G37" s="31">
        <f>IF(OR(E37="",F37=""),"",E37*F37)</f>
      </c>
      <c r="H37" s="28" t="s">
        <v>345</v>
      </c>
    </row>
    <row r="38" ht="32" customHeight="1" spans="1:8" x14ac:dyDescent="0.25">
      <c r="A38" s="3" t="s">
        <v>352</v>
      </c>
      <c r="B38" s="4" t="s">
        <v>353</v>
      </c>
      <c r="C38" s="4" t="s">
        <v>344</v>
      </c>
      <c r="D38" s="13" t="s">
        <v>299</v>
      </c>
      <c r="E38" s="25">
        <v>1</v>
      </c>
      <c r="F38" s="26">
        <v>18000</v>
      </c>
      <c r="G38" s="26">
        <f>IF(OR(E38="",F38=""),"",E38*F38)</f>
      </c>
      <c r="H38" s="4" t="s">
        <v>345</v>
      </c>
    </row>
    <row r="39" ht="32" customHeight="1" spans="1:8" x14ac:dyDescent="0.25">
      <c r="A39" s="27" t="s">
        <v>354</v>
      </c>
      <c r="B39" s="28" t="s">
        <v>355</v>
      </c>
      <c r="C39" s="28" t="s">
        <v>344</v>
      </c>
      <c r="D39" s="29" t="s">
        <v>299</v>
      </c>
      <c r="E39" s="30">
        <v>1</v>
      </c>
      <c r="F39" s="31">
        <v>12000</v>
      </c>
      <c r="G39" s="31">
        <f>IF(OR(E39="",F39=""),"",E39*F39)</f>
      </c>
      <c r="H39" s="28" t="s">
        <v>345</v>
      </c>
    </row>
    <row r="40" ht="19.5" customHeight="1" spans="1:8" x14ac:dyDescent="0.25">
      <c r="A40" s="32" t="s">
        <v>356</v>
      </c>
      <c r="B40"/>
      <c r="C40"/>
      <c r="D40"/>
      <c r="E40"/>
      <c r="F40"/>
      <c r="G40" s="33">
        <f>SUM(G34:G39)</f>
      </c>
      <c r="H40" s="32" t="s">
        <v>310</v>
      </c>
    </row>
    <row r="41" spans="1:1" x14ac:dyDescent="0.25"/>
    <row r="42" spans="1:1" x14ac:dyDescent="0.25"/>
    <row r="43" ht="24" customHeight="1" spans="1:8" x14ac:dyDescent="0.25">
      <c r="A43" s="34" t="s">
        <v>357</v>
      </c>
      <c r="B43"/>
      <c r="C43"/>
      <c r="D43"/>
      <c r="E43"/>
      <c r="F43"/>
      <c r="G43" s="35">
        <f>SUMIF(A4:A41,"*.*.*",G4:G41)</f>
      </c>
      <c r="H43" s="34" t="s">
        <v>310</v>
      </c>
    </row>
  </sheetData>
  <mergeCells count="13">
    <mergeCell ref="A1:H1"/>
    <mergeCell ref="A2:H2"/>
    <mergeCell ref="A4:H4"/>
    <mergeCell ref="A10:F10"/>
    <mergeCell ref="A12:H12"/>
    <mergeCell ref="A17:F17"/>
    <mergeCell ref="A19:H19"/>
    <mergeCell ref="A23:F23"/>
    <mergeCell ref="A25:H25"/>
    <mergeCell ref="A31:F31"/>
    <mergeCell ref="A33:H33"/>
    <mergeCell ref="A40:F40"/>
    <mergeCell ref="A43:F43"/>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 — GENERAL ITEMS / PRELIMINARIES&amp;RPage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358</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359</v>
      </c>
      <c r="B4"/>
      <c r="C4"/>
      <c r="D4"/>
      <c r="E4"/>
      <c r="F4"/>
      <c r="G4"/>
      <c r="H4"/>
    </row>
    <row r="5" ht="46" customHeight="1" spans="1:8" x14ac:dyDescent="0.25">
      <c r="A5" s="3" t="s">
        <v>360</v>
      </c>
      <c r="B5" s="4" t="s">
        <v>361</v>
      </c>
      <c r="C5" s="4" t="s">
        <v>362</v>
      </c>
      <c r="D5" s="13" t="s">
        <v>363</v>
      </c>
      <c r="E5" s="25">
        <v>1</v>
      </c>
      <c r="F5" s="36">
        <v>0</v>
      </c>
      <c r="G5" s="36">
        <f>IF(OR(E5="",F5=""),"",E5*F5)</f>
      </c>
      <c r="H5" s="4" t="s">
        <v>364</v>
      </c>
    </row>
    <row r="6" ht="96" customHeight="1" spans="1:8" x14ac:dyDescent="0.25">
      <c r="A6" s="27" t="s">
        <v>365</v>
      </c>
      <c r="B6" s="28" t="s">
        <v>366</v>
      </c>
      <c r="C6" s="28" t="s">
        <v>362</v>
      </c>
      <c r="D6" s="29" t="s">
        <v>367</v>
      </c>
      <c r="E6" s="30">
        <v>1</v>
      </c>
      <c r="F6" s="31">
        <v>120000</v>
      </c>
      <c r="G6" s="31">
        <f>IF(OR(E6="",F6=""),"",E6*F6)</f>
      </c>
      <c r="H6" s="28" t="s">
        <v>368</v>
      </c>
    </row>
    <row r="7" ht="96" customHeight="1" spans="1:8" x14ac:dyDescent="0.25">
      <c r="A7" s="3" t="s">
        <v>369</v>
      </c>
      <c r="B7" s="4" t="s">
        <v>370</v>
      </c>
      <c r="C7" s="4" t="s">
        <v>362</v>
      </c>
      <c r="D7" s="13" t="s">
        <v>367</v>
      </c>
      <c r="E7" s="25">
        <v>1</v>
      </c>
      <c r="F7" s="26">
        <v>180000</v>
      </c>
      <c r="G7" s="26">
        <f>IF(OR(E7="",F7=""),"",E7*F7)</f>
      </c>
      <c r="H7" s="4" t="s">
        <v>368</v>
      </c>
    </row>
    <row r="8" ht="46" customHeight="1" spans="1:8" x14ac:dyDescent="0.25">
      <c r="A8" s="27" t="s">
        <v>371</v>
      </c>
      <c r="B8" s="28" t="s">
        <v>372</v>
      </c>
      <c r="C8" s="28" t="s">
        <v>362</v>
      </c>
      <c r="D8" s="29" t="s">
        <v>373</v>
      </c>
      <c r="E8" s="30">
        <v>30</v>
      </c>
      <c r="F8" s="31">
        <v>18000</v>
      </c>
      <c r="G8" s="31">
        <f>IF(OR(E8="",F8=""),"",E8*F8)</f>
      </c>
      <c r="H8" s="28" t="s">
        <v>300</v>
      </c>
    </row>
    <row r="9" ht="46" customHeight="1" spans="1:8" x14ac:dyDescent="0.25">
      <c r="A9" s="3" t="s">
        <v>374</v>
      </c>
      <c r="B9" s="4" t="s">
        <v>375</v>
      </c>
      <c r="C9" s="4" t="s">
        <v>362</v>
      </c>
      <c r="D9" s="13" t="s">
        <v>299</v>
      </c>
      <c r="E9" s="25">
        <v>1</v>
      </c>
      <c r="F9" s="26">
        <v>35000</v>
      </c>
      <c r="G9" s="26">
        <f>IF(OR(E9="",F9=""),"",E9*F9)</f>
      </c>
      <c r="H9" s="4" t="s">
        <v>368</v>
      </c>
    </row>
    <row r="10" ht="19.5" customHeight="1" spans="1:8" x14ac:dyDescent="0.25">
      <c r="A10" s="32" t="s">
        <v>376</v>
      </c>
      <c r="B10"/>
      <c r="C10"/>
      <c r="D10"/>
      <c r="E10"/>
      <c r="F10"/>
      <c r="G10" s="33">
        <f>SUM(G5:G9)</f>
      </c>
      <c r="H10" s="32" t="s">
        <v>310</v>
      </c>
    </row>
    <row r="11" spans="1:1" x14ac:dyDescent="0.25"/>
    <row r="12" ht="19.5" customHeight="1" spans="1:8" x14ac:dyDescent="0.25">
      <c r="A12" s="5" t="s">
        <v>377</v>
      </c>
      <c r="B12"/>
      <c r="C12"/>
      <c r="D12"/>
      <c r="E12"/>
      <c r="F12"/>
      <c r="G12"/>
      <c r="H12"/>
    </row>
    <row r="13" ht="96" customHeight="1" spans="1:8" x14ac:dyDescent="0.25">
      <c r="A13" s="3" t="s">
        <v>378</v>
      </c>
      <c r="B13" s="4" t="s">
        <v>379</v>
      </c>
      <c r="C13" s="4" t="s">
        <v>362</v>
      </c>
      <c r="D13" s="13" t="s">
        <v>367</v>
      </c>
      <c r="E13" s="25">
        <v>1</v>
      </c>
      <c r="F13" s="26">
        <v>600000</v>
      </c>
      <c r="G13" s="26">
        <f>IF(OR(E13="",F13=""),"",E13*F13)</f>
      </c>
      <c r="H13" s="4" t="s">
        <v>380</v>
      </c>
    </row>
    <row r="14" ht="46" customHeight="1" spans="1:8" x14ac:dyDescent="0.25">
      <c r="A14" s="27" t="s">
        <v>381</v>
      </c>
      <c r="B14" s="28" t="s">
        <v>382</v>
      </c>
      <c r="C14" s="28" t="s">
        <v>362</v>
      </c>
      <c r="D14" s="29" t="s">
        <v>367</v>
      </c>
      <c r="E14" s="30">
        <v>1</v>
      </c>
      <c r="F14" s="31">
        <v>78750</v>
      </c>
      <c r="G14" s="31">
        <f>IF(OR(E14="",F14=""),"",E14*F14)</f>
      </c>
      <c r="H14" s="28" t="s">
        <v>383</v>
      </c>
    </row>
    <row r="15" ht="96" customHeight="1" spans="1:8" x14ac:dyDescent="0.25">
      <c r="A15" s="3" t="s">
        <v>384</v>
      </c>
      <c r="B15" s="4" t="s">
        <v>385</v>
      </c>
      <c r="C15" s="4" t="s">
        <v>362</v>
      </c>
      <c r="D15" s="13" t="s">
        <v>367</v>
      </c>
      <c r="E15" s="25">
        <v>1</v>
      </c>
      <c r="F15" s="26">
        <v>450000</v>
      </c>
      <c r="G15" s="26">
        <f>IF(OR(E15="",F15=""),"",E15*F15)</f>
      </c>
      <c r="H15" s="4" t="s">
        <v>380</v>
      </c>
    </row>
    <row r="16" ht="46" customHeight="1" spans="1:8" x14ac:dyDescent="0.25">
      <c r="A16" s="27" t="s">
        <v>386</v>
      </c>
      <c r="B16" s="28" t="s">
        <v>387</v>
      </c>
      <c r="C16" s="28" t="s">
        <v>362</v>
      </c>
      <c r="D16" s="29" t="s">
        <v>367</v>
      </c>
      <c r="E16" s="30">
        <v>1</v>
      </c>
      <c r="F16" s="31">
        <v>57750</v>
      </c>
      <c r="G16" s="31">
        <f>IF(OR(E16="",F16=""),"",E16*F16)</f>
      </c>
      <c r="H16" s="28" t="s">
        <v>383</v>
      </c>
    </row>
    <row r="17" ht="19.5" customHeight="1" spans="1:8" x14ac:dyDescent="0.25">
      <c r="A17" s="32" t="s">
        <v>388</v>
      </c>
      <c r="B17"/>
      <c r="C17"/>
      <c r="D17"/>
      <c r="E17"/>
      <c r="F17"/>
      <c r="G17" s="33">
        <f>SUM(G13:G16)</f>
      </c>
      <c r="H17" s="32" t="s">
        <v>310</v>
      </c>
    </row>
    <row r="18" spans="1:1" x14ac:dyDescent="0.25"/>
    <row r="19" ht="19.5" customHeight="1" spans="1:8" x14ac:dyDescent="0.25">
      <c r="A19" s="5" t="s">
        <v>389</v>
      </c>
      <c r="B19"/>
      <c r="C19"/>
      <c r="D19"/>
      <c r="E19"/>
      <c r="F19"/>
      <c r="G19"/>
      <c r="H19"/>
    </row>
    <row r="20" ht="74" customHeight="1" spans="1:8" x14ac:dyDescent="0.25">
      <c r="A20" s="3" t="s">
        <v>390</v>
      </c>
      <c r="B20" s="4" t="s">
        <v>391</v>
      </c>
      <c r="C20" s="4" t="s">
        <v>362</v>
      </c>
      <c r="D20" s="13" t="s">
        <v>367</v>
      </c>
      <c r="E20" s="25">
        <v>1</v>
      </c>
      <c r="F20" s="26">
        <v>255000</v>
      </c>
      <c r="G20" s="26">
        <f>IF(OR(E20="",F20=""),"",E20*F20)</f>
      </c>
      <c r="H20" s="4" t="s">
        <v>392</v>
      </c>
    </row>
    <row r="21" ht="60" customHeight="1" spans="1:8" x14ac:dyDescent="0.25">
      <c r="A21" s="27" t="s">
        <v>393</v>
      </c>
      <c r="B21" s="28" t="s">
        <v>394</v>
      </c>
      <c r="C21" s="28" t="s">
        <v>362</v>
      </c>
      <c r="D21" s="29" t="s">
        <v>367</v>
      </c>
      <c r="E21" s="30">
        <v>1</v>
      </c>
      <c r="F21" s="31">
        <v>80000</v>
      </c>
      <c r="G21" s="31">
        <f>IF(OR(E21="",F21=""),"",E21*F21)</f>
      </c>
      <c r="H21" s="28" t="s">
        <v>395</v>
      </c>
    </row>
    <row r="22" ht="19.5" customHeight="1" spans="1:8" x14ac:dyDescent="0.25">
      <c r="A22" s="32" t="s">
        <v>396</v>
      </c>
      <c r="B22"/>
      <c r="C22"/>
      <c r="D22"/>
      <c r="E22"/>
      <c r="F22"/>
      <c r="G22" s="33">
        <f>SUM(G20:G21)</f>
      </c>
      <c r="H22" s="32" t="s">
        <v>310</v>
      </c>
    </row>
    <row r="23" spans="1:1" x14ac:dyDescent="0.25"/>
    <row r="24" spans="1:1" x14ac:dyDescent="0.25"/>
    <row r="25" ht="24" customHeight="1" spans="1:8" x14ac:dyDescent="0.25">
      <c r="A25" s="34" t="s">
        <v>397</v>
      </c>
      <c r="B25"/>
      <c r="C25"/>
      <c r="D25"/>
      <c r="E25"/>
      <c r="F25"/>
      <c r="G25" s="35">
        <f>SUMIF(A4:A23,"*.*.*",G4:G23)</f>
      </c>
      <c r="H25" s="34" t="s">
        <v>310</v>
      </c>
    </row>
  </sheetData>
  <mergeCells count="9">
    <mergeCell ref="A1:H1"/>
    <mergeCell ref="A2:H2"/>
    <mergeCell ref="A4:H4"/>
    <mergeCell ref="A10:F10"/>
    <mergeCell ref="A12:H12"/>
    <mergeCell ref="A17:F17"/>
    <mergeCell ref="A19:H19"/>
    <mergeCell ref="A22:F22"/>
    <mergeCell ref="A25:F2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2 — HV / LV MAIN DISTRIBUTION&amp;RPage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398</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399</v>
      </c>
      <c r="B4"/>
      <c r="C4"/>
      <c r="D4"/>
      <c r="E4"/>
      <c r="F4"/>
      <c r="G4"/>
      <c r="H4"/>
    </row>
    <row r="5" spans="1:1" x14ac:dyDescent="0.25"/>
    <row r="6" ht="24" customHeight="1" spans="1:8" x14ac:dyDescent="0.25">
      <c r="A6" s="34" t="s">
        <v>400</v>
      </c>
      <c r="B6"/>
      <c r="C6"/>
      <c r="D6"/>
      <c r="E6"/>
      <c r="F6"/>
      <c r="G6" s="35">
        <f>SUMIF(A4:A4,"*.*.*",G4:G4)</f>
      </c>
      <c r="H6" s="34" t="s">
        <v>310</v>
      </c>
    </row>
  </sheetData>
  <mergeCells count="4">
    <mergeCell ref="A1:H1"/>
    <mergeCell ref="A2:H2"/>
    <mergeCell ref="A4:H4"/>
    <mergeCell ref="A6:F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3 — SUB-MAIN DISTRIBUTION BOARDS (SMDBs)&amp;RPage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401</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402</v>
      </c>
      <c r="B4"/>
      <c r="C4"/>
      <c r="D4"/>
      <c r="E4"/>
      <c r="F4"/>
      <c r="G4"/>
      <c r="H4"/>
    </row>
    <row r="5" ht="19.5" customHeight="1" spans="1:8" x14ac:dyDescent="0.25">
      <c r="A5" s="5" t="s">
        <v>403</v>
      </c>
      <c r="B5"/>
      <c r="C5"/>
      <c r="D5"/>
      <c r="E5"/>
      <c r="F5"/>
      <c r="G5"/>
      <c r="H5"/>
    </row>
    <row r="6" ht="88" customHeight="1" spans="1:8" x14ac:dyDescent="0.25">
      <c r="A6" s="3" t="s">
        <v>404</v>
      </c>
      <c r="B6" s="4" t="s">
        <v>405</v>
      </c>
      <c r="C6" s="4" t="s">
        <v>406</v>
      </c>
      <c r="D6" s="13" t="s">
        <v>367</v>
      </c>
      <c r="E6" s="25">
        <v>1</v>
      </c>
      <c r="F6" s="26">
        <v>3200</v>
      </c>
      <c r="G6" s="26">
        <f>IF(OR(E6="",F6=""),"",E6*F6)</f>
      </c>
      <c r="H6" s="4" t="s">
        <v>407</v>
      </c>
    </row>
    <row r="7" ht="88" customHeight="1" spans="1:8" x14ac:dyDescent="0.25">
      <c r="A7" s="27" t="s">
        <v>408</v>
      </c>
      <c r="B7" s="28" t="s">
        <v>409</v>
      </c>
      <c r="C7" s="28" t="s">
        <v>406</v>
      </c>
      <c r="D7" s="29" t="s">
        <v>367</v>
      </c>
      <c r="E7" s="30">
        <v>1</v>
      </c>
      <c r="F7" s="31">
        <v>3200</v>
      </c>
      <c r="G7" s="31">
        <f>IF(OR(E7="",F7=""),"",E7*F7)</f>
      </c>
      <c r="H7" s="28" t="s">
        <v>407</v>
      </c>
    </row>
    <row r="8" ht="88" customHeight="1" spans="1:8" x14ac:dyDescent="0.25">
      <c r="A8" s="3" t="s">
        <v>410</v>
      </c>
      <c r="B8" s="4" t="s">
        <v>411</v>
      </c>
      <c r="C8" s="4" t="s">
        <v>406</v>
      </c>
      <c r="D8" s="13" t="s">
        <v>367</v>
      </c>
      <c r="E8" s="25">
        <v>10</v>
      </c>
      <c r="F8" s="26">
        <v>3200</v>
      </c>
      <c r="G8" s="26">
        <f>IF(OR(E8="",F8=""),"",E8*F8)</f>
      </c>
      <c r="H8" s="4" t="s">
        <v>407</v>
      </c>
    </row>
    <row r="9" ht="19.5" customHeight="1" spans="1:8" x14ac:dyDescent="0.25">
      <c r="A9" s="32" t="s">
        <v>412</v>
      </c>
      <c r="B9"/>
      <c r="C9"/>
      <c r="D9"/>
      <c r="E9"/>
      <c r="F9"/>
      <c r="G9" s="33">
        <f>SUM(G6:G8)</f>
      </c>
      <c r="H9" s="32" t="s">
        <v>310</v>
      </c>
    </row>
    <row r="10" spans="1:1" x14ac:dyDescent="0.25"/>
    <row r="11" spans="1:1" x14ac:dyDescent="0.25"/>
    <row r="12" ht="24" customHeight="1" spans="1:8" x14ac:dyDescent="0.25">
      <c r="A12" s="34" t="s">
        <v>413</v>
      </c>
      <c r="B12"/>
      <c r="C12"/>
      <c r="D12"/>
      <c r="E12"/>
      <c r="F12"/>
      <c r="G12" s="35">
        <f>SUMIF(A4:A10,"*.*.*",G4:G10)</f>
      </c>
      <c r="H12" s="34" t="s">
        <v>310</v>
      </c>
    </row>
  </sheetData>
  <mergeCells count="6">
    <mergeCell ref="A1:H1"/>
    <mergeCell ref="A2:H2"/>
    <mergeCell ref="A4:H4"/>
    <mergeCell ref="A5:H5"/>
    <mergeCell ref="A9:F9"/>
    <mergeCell ref="A12:F12"/>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4 — DISTRIBUTION BOARDS (DBs) &amp; CONSUMER UNITS&amp;RPage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414</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415</v>
      </c>
      <c r="B4"/>
      <c r="C4"/>
      <c r="D4"/>
      <c r="E4"/>
      <c r="F4"/>
      <c r="G4"/>
      <c r="H4"/>
    </row>
    <row r="5" ht="46" customHeight="1" spans="1:8" x14ac:dyDescent="0.25">
      <c r="A5" s="3" t="s">
        <v>416</v>
      </c>
      <c r="B5" s="4" t="s">
        <v>417</v>
      </c>
      <c r="C5" s="4" t="s">
        <v>418</v>
      </c>
      <c r="D5" s="13" t="s">
        <v>373</v>
      </c>
      <c r="E5" s="25">
        <v>220</v>
      </c>
      <c r="F5" s="26">
        <v>42</v>
      </c>
      <c r="G5" s="26">
        <f>IF(OR(E5="",F5=""),"",E5*F5)</f>
      </c>
      <c r="H5" s="4" t="s">
        <v>419</v>
      </c>
    </row>
    <row r="6" ht="32" customHeight="1" spans="1:8" x14ac:dyDescent="0.25">
      <c r="A6" s="27" t="s">
        <v>420</v>
      </c>
      <c r="B6" s="28" t="s">
        <v>421</v>
      </c>
      <c r="C6" s="28" t="s">
        <v>418</v>
      </c>
      <c r="D6" s="29" t="s">
        <v>373</v>
      </c>
      <c r="E6" s="30">
        <v>480</v>
      </c>
      <c r="F6" s="31">
        <v>11</v>
      </c>
      <c r="G6" s="31">
        <f>IF(OR(E6="",F6=""),"",E6*F6)</f>
      </c>
      <c r="H6" s="28" t="s">
        <v>419</v>
      </c>
    </row>
    <row r="7" ht="32" customHeight="1" spans="1:8" x14ac:dyDescent="0.25">
      <c r="A7" s="3" t="s">
        <v>422</v>
      </c>
      <c r="B7" s="4" t="s">
        <v>423</v>
      </c>
      <c r="C7" s="4" t="s">
        <v>418</v>
      </c>
      <c r="D7" s="13" t="s">
        <v>373</v>
      </c>
      <c r="E7" s="25">
        <v>1200</v>
      </c>
      <c r="F7" s="26">
        <v>8</v>
      </c>
      <c r="G7" s="26">
        <f>IF(OR(E7="",F7=""),"",E7*F7)</f>
      </c>
      <c r="H7" s="4" t="s">
        <v>419</v>
      </c>
    </row>
    <row r="8" ht="32" customHeight="1" spans="1:8" x14ac:dyDescent="0.25">
      <c r="A8" s="27" t="s">
        <v>424</v>
      </c>
      <c r="B8" s="28" t="s">
        <v>425</v>
      </c>
      <c r="C8" s="28" t="s">
        <v>418</v>
      </c>
      <c r="D8" s="29" t="s">
        <v>373</v>
      </c>
      <c r="E8" s="30">
        <v>540</v>
      </c>
      <c r="F8" s="31">
        <v>7</v>
      </c>
      <c r="G8" s="31">
        <f>IF(OR(E8="",F8=""),"",E8*F8)</f>
      </c>
      <c r="H8" s="28" t="s">
        <v>426</v>
      </c>
    </row>
    <row r="9" ht="19.5" customHeight="1" spans="1:8" x14ac:dyDescent="0.25">
      <c r="A9" s="32" t="s">
        <v>427</v>
      </c>
      <c r="B9"/>
      <c r="C9"/>
      <c r="D9"/>
      <c r="E9"/>
      <c r="F9"/>
      <c r="G9" s="33">
        <f>SUM(G5:G8)</f>
      </c>
      <c r="H9" s="32" t="s">
        <v>310</v>
      </c>
    </row>
    <row r="10" spans="1:1" x14ac:dyDescent="0.25"/>
    <row r="11" spans="1:1" x14ac:dyDescent="0.25"/>
    <row r="12" ht="24" customHeight="1" spans="1:8" x14ac:dyDescent="0.25">
      <c r="A12" s="34" t="s">
        <v>428</v>
      </c>
      <c r="B12"/>
      <c r="C12"/>
      <c r="D12"/>
      <c r="E12"/>
      <c r="F12"/>
      <c r="G12" s="35">
        <f>SUMIF(A4:A10,"*.*.*",G4:G10)</f>
      </c>
      <c r="H12" s="34" t="s">
        <v>310</v>
      </c>
    </row>
  </sheetData>
  <mergeCells count="5">
    <mergeCell ref="A1:H1"/>
    <mergeCell ref="A2:H2"/>
    <mergeCell ref="A4:H4"/>
    <mergeCell ref="A9:F9"/>
    <mergeCell ref="A12:F12"/>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5 — LV POWER CABLES (Main + Distribution + Final Circuits)&amp;RPage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429</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430</v>
      </c>
      <c r="B4"/>
      <c r="C4"/>
      <c r="D4"/>
      <c r="E4"/>
      <c r="F4"/>
      <c r="G4"/>
      <c r="H4"/>
    </row>
    <row r="5" ht="60" customHeight="1" spans="1:8" x14ac:dyDescent="0.25">
      <c r="A5" s="3" t="s">
        <v>431</v>
      </c>
      <c r="B5" s="4" t="s">
        <v>432</v>
      </c>
      <c r="C5" s="4" t="s">
        <v>433</v>
      </c>
      <c r="D5" s="13" t="s">
        <v>373</v>
      </c>
      <c r="E5" s="25">
        <v>40</v>
      </c>
      <c r="F5" s="26">
        <v>640</v>
      </c>
      <c r="G5" s="26">
        <f>IF(OR(E5="",F5=""),"",E5*F5)</f>
      </c>
      <c r="H5" s="4" t="s">
        <v>434</v>
      </c>
    </row>
    <row r="6" ht="74" customHeight="1" spans="1:8" x14ac:dyDescent="0.25">
      <c r="A6" s="27" t="s">
        <v>435</v>
      </c>
      <c r="B6" s="28" t="s">
        <v>436</v>
      </c>
      <c r="C6" s="28" t="s">
        <v>433</v>
      </c>
      <c r="D6" s="29" t="s">
        <v>373</v>
      </c>
      <c r="E6" s="30">
        <v>130</v>
      </c>
      <c r="F6" s="31">
        <v>385</v>
      </c>
      <c r="G6" s="31">
        <f>IF(OR(E6="",F6=""),"",E6*F6)</f>
      </c>
      <c r="H6" s="28" t="s">
        <v>434</v>
      </c>
    </row>
    <row r="7" ht="60" customHeight="1" spans="1:8" x14ac:dyDescent="0.25">
      <c r="A7" s="3" t="s">
        <v>437</v>
      </c>
      <c r="B7" s="4" t="s">
        <v>438</v>
      </c>
      <c r="C7" s="4" t="s">
        <v>433</v>
      </c>
      <c r="D7" s="13" t="s">
        <v>373</v>
      </c>
      <c r="E7" s="25">
        <v>400</v>
      </c>
      <c r="F7" s="26">
        <v>310</v>
      </c>
      <c r="G7" s="26">
        <f>IF(OR(E7="",F7=""),"",E7*F7)</f>
      </c>
      <c r="H7" s="4" t="s">
        <v>434</v>
      </c>
    </row>
    <row r="8" ht="60" customHeight="1" spans="1:8" x14ac:dyDescent="0.25">
      <c r="A8" s="27" t="s">
        <v>439</v>
      </c>
      <c r="B8" s="28" t="s">
        <v>440</v>
      </c>
      <c r="C8" s="28" t="s">
        <v>433</v>
      </c>
      <c r="D8" s="29" t="s">
        <v>373</v>
      </c>
      <c r="E8" s="30">
        <v>300</v>
      </c>
      <c r="F8" s="31">
        <v>160</v>
      </c>
      <c r="G8" s="31">
        <f>IF(OR(E8="",F8=""),"",E8*F8)</f>
      </c>
      <c r="H8" s="28" t="s">
        <v>434</v>
      </c>
    </row>
    <row r="9" ht="60" customHeight="1" spans="1:8" x14ac:dyDescent="0.25">
      <c r="A9" s="3" t="s">
        <v>441</v>
      </c>
      <c r="B9" s="4" t="s">
        <v>442</v>
      </c>
      <c r="C9" s="4" t="s">
        <v>433</v>
      </c>
      <c r="D9" s="13" t="s">
        <v>373</v>
      </c>
      <c r="E9" s="25">
        <v>100</v>
      </c>
      <c r="F9" s="26">
        <v>310</v>
      </c>
      <c r="G9" s="26">
        <f>IF(OR(E9="",F9=""),"",E9*F9)</f>
      </c>
      <c r="H9" s="4" t="s">
        <v>434</v>
      </c>
    </row>
    <row r="10" ht="60" customHeight="1" spans="1:8" x14ac:dyDescent="0.25">
      <c r="A10" s="27" t="s">
        <v>443</v>
      </c>
      <c r="B10" s="28" t="s">
        <v>444</v>
      </c>
      <c r="C10" s="28" t="s">
        <v>433</v>
      </c>
      <c r="D10" s="29" t="s">
        <v>373</v>
      </c>
      <c r="E10" s="30">
        <v>80</v>
      </c>
      <c r="F10" s="31">
        <v>385</v>
      </c>
      <c r="G10" s="31">
        <f>IF(OR(E10="",F10=""),"",E10*F10)</f>
      </c>
      <c r="H10" s="28" t="s">
        <v>434</v>
      </c>
    </row>
    <row r="11" ht="60" customHeight="1" spans="1:8" x14ac:dyDescent="0.25">
      <c r="A11" s="3" t="s">
        <v>445</v>
      </c>
      <c r="B11" s="4" t="s">
        <v>446</v>
      </c>
      <c r="C11" s="4" t="s">
        <v>433</v>
      </c>
      <c r="D11" s="13" t="s">
        <v>373</v>
      </c>
      <c r="E11" s="25">
        <v>535</v>
      </c>
      <c r="F11" s="26">
        <v>48</v>
      </c>
      <c r="G11" s="26">
        <f>IF(OR(E11="",F11=""),"",E11*F11)</f>
      </c>
      <c r="H11" s="4" t="s">
        <v>447</v>
      </c>
    </row>
    <row r="12" ht="60" customHeight="1" spans="1:8" x14ac:dyDescent="0.25">
      <c r="A12" s="27" t="s">
        <v>448</v>
      </c>
      <c r="B12" s="28" t="s">
        <v>449</v>
      </c>
      <c r="C12" s="28" t="s">
        <v>433</v>
      </c>
      <c r="D12" s="29" t="s">
        <v>373</v>
      </c>
      <c r="E12" s="30">
        <v>80</v>
      </c>
      <c r="F12" s="31">
        <v>62</v>
      </c>
      <c r="G12" s="31">
        <f>IF(OR(E12="",F12=""),"",E12*F12)</f>
      </c>
      <c r="H12" s="28" t="s">
        <v>434</v>
      </c>
    </row>
    <row r="13" ht="60" customHeight="1" spans="1:8" x14ac:dyDescent="0.25">
      <c r="A13" s="3" t="s">
        <v>450</v>
      </c>
      <c r="B13" s="4" t="s">
        <v>451</v>
      </c>
      <c r="C13" s="4" t="s">
        <v>433</v>
      </c>
      <c r="D13" s="13" t="s">
        <v>373</v>
      </c>
      <c r="E13" s="25">
        <v>400</v>
      </c>
      <c r="F13" s="26">
        <v>48</v>
      </c>
      <c r="G13" s="26">
        <f>IF(OR(E13="",F13=""),"",E13*F13)</f>
      </c>
      <c r="H13" s="4" t="s">
        <v>447</v>
      </c>
    </row>
    <row r="14" ht="60" customHeight="1" spans="1:8" x14ac:dyDescent="0.25">
      <c r="A14" s="27" t="s">
        <v>452</v>
      </c>
      <c r="B14" s="28" t="s">
        <v>453</v>
      </c>
      <c r="C14" s="28" t="s">
        <v>433</v>
      </c>
      <c r="D14" s="29" t="s">
        <v>373</v>
      </c>
      <c r="E14" s="30">
        <v>200</v>
      </c>
      <c r="F14" s="31">
        <v>77</v>
      </c>
      <c r="G14" s="31">
        <f>IF(OR(E14="",F14=""),"",E14*F14)</f>
      </c>
      <c r="H14" s="28" t="s">
        <v>447</v>
      </c>
    </row>
    <row r="15" ht="19.5" customHeight="1" spans="1:8" x14ac:dyDescent="0.25">
      <c r="A15" s="32" t="s">
        <v>454</v>
      </c>
      <c r="B15"/>
      <c r="C15"/>
      <c r="D15"/>
      <c r="E15"/>
      <c r="F15"/>
      <c r="G15" s="33">
        <f>SUM(G5:G14)</f>
      </c>
      <c r="H15" s="32" t="s">
        <v>310</v>
      </c>
    </row>
    <row r="16" spans="1:1" x14ac:dyDescent="0.25"/>
    <row r="17" spans="1:1" x14ac:dyDescent="0.25"/>
    <row r="18" ht="24" customHeight="1" spans="1:8" x14ac:dyDescent="0.25">
      <c r="A18" s="34" t="s">
        <v>455</v>
      </c>
      <c r="B18"/>
      <c r="C18"/>
      <c r="D18"/>
      <c r="E18"/>
      <c r="F18"/>
      <c r="G18" s="35">
        <f>SUMIF(A4:A16,"*.*.*",G4:G16)</f>
      </c>
      <c r="H18" s="34" t="s">
        <v>310</v>
      </c>
    </row>
  </sheetData>
  <mergeCells count="5">
    <mergeCell ref="A1:H1"/>
    <mergeCell ref="A2:H2"/>
    <mergeCell ref="A4:H4"/>
    <mergeCell ref="A15:F15"/>
    <mergeCell ref="A18:F18"/>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6 — CABLE CONTAINMENT (Tray, Ladder, Trunking, Conduit)&amp;RPage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456</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457</v>
      </c>
      <c r="B4"/>
      <c r="C4"/>
      <c r="D4"/>
      <c r="E4"/>
      <c r="F4"/>
      <c r="G4"/>
      <c r="H4"/>
    </row>
    <row r="5" ht="18" customHeight="1" spans="1:8" x14ac:dyDescent="0.25">
      <c r="A5" s="3" t="s">
        <v>458</v>
      </c>
      <c r="B5" s="4" t="s">
        <v>459</v>
      </c>
      <c r="C5" s="4" t="s">
        <v>460</v>
      </c>
      <c r="D5" s="13" t="s">
        <v>367</v>
      </c>
      <c r="E5" s="25">
        <v>340</v>
      </c>
      <c r="F5" s="26">
        <v>45</v>
      </c>
      <c r="G5" s="26">
        <f>IF(OR(E5="",F5=""),"",E5*F5)</f>
      </c>
      <c r="H5" s="4" t="s">
        <v>461</v>
      </c>
    </row>
    <row r="6" ht="18" customHeight="1" spans="1:8" x14ac:dyDescent="0.25">
      <c r="A6" s="27" t="s">
        <v>462</v>
      </c>
      <c r="B6" s="28" t="s">
        <v>463</v>
      </c>
      <c r="C6" s="28" t="s">
        <v>460</v>
      </c>
      <c r="D6" s="29" t="s">
        <v>367</v>
      </c>
      <c r="E6" s="30">
        <v>280</v>
      </c>
      <c r="F6" s="31">
        <v>75</v>
      </c>
      <c r="G6" s="31">
        <f>IF(OR(E6="",F6=""),"",E6*F6)</f>
      </c>
      <c r="H6" s="28" t="s">
        <v>461</v>
      </c>
    </row>
    <row r="7" ht="18" customHeight="1" spans="1:8" x14ac:dyDescent="0.25">
      <c r="A7" s="3" t="s">
        <v>464</v>
      </c>
      <c r="B7" s="4" t="s">
        <v>465</v>
      </c>
      <c r="C7" s="4" t="s">
        <v>460</v>
      </c>
      <c r="D7" s="13" t="s">
        <v>367</v>
      </c>
      <c r="E7" s="25">
        <v>95</v>
      </c>
      <c r="F7" s="26">
        <v>85</v>
      </c>
      <c r="G7" s="26">
        <f>IF(OR(E7="",F7=""),"",E7*F7)</f>
      </c>
      <c r="H7" s="4" t="s">
        <v>461</v>
      </c>
    </row>
    <row r="8" ht="18" customHeight="1" spans="1:8" x14ac:dyDescent="0.25">
      <c r="A8" s="27" t="s">
        <v>466</v>
      </c>
      <c r="B8" s="28" t="s">
        <v>467</v>
      </c>
      <c r="C8" s="28" t="s">
        <v>460</v>
      </c>
      <c r="D8" s="29" t="s">
        <v>367</v>
      </c>
      <c r="E8" s="30">
        <v>50</v>
      </c>
      <c r="F8" s="31">
        <v>85</v>
      </c>
      <c r="G8" s="31">
        <f>IF(OR(E8="",F8=""),"",E8*F8)</f>
      </c>
      <c r="H8" s="28" t="s">
        <v>461</v>
      </c>
    </row>
    <row r="9" ht="18" customHeight="1" spans="1:8" x14ac:dyDescent="0.25">
      <c r="A9" s="3" t="s">
        <v>468</v>
      </c>
      <c r="B9" s="4" t="s">
        <v>469</v>
      </c>
      <c r="C9" s="4" t="s">
        <v>460</v>
      </c>
      <c r="D9" s="13" t="s">
        <v>367</v>
      </c>
      <c r="E9" s="25">
        <v>25</v>
      </c>
      <c r="F9" s="26">
        <v>165</v>
      </c>
      <c r="G9" s="26">
        <f>IF(OR(E9="",F9=""),"",E9*F9)</f>
      </c>
      <c r="H9" s="4" t="s">
        <v>461</v>
      </c>
    </row>
    <row r="10" ht="18" customHeight="1" spans="1:8" x14ac:dyDescent="0.25">
      <c r="A10" s="27" t="s">
        <v>470</v>
      </c>
      <c r="B10" s="28" t="s">
        <v>471</v>
      </c>
      <c r="C10" s="28" t="s">
        <v>460</v>
      </c>
      <c r="D10" s="29" t="s">
        <v>367</v>
      </c>
      <c r="E10" s="30">
        <v>18</v>
      </c>
      <c r="F10" s="31">
        <v>280</v>
      </c>
      <c r="G10" s="31">
        <f>IF(OR(E10="",F10=""),"",E10*F10)</f>
      </c>
      <c r="H10" s="28" t="s">
        <v>461</v>
      </c>
    </row>
    <row r="11" ht="18" customHeight="1" spans="1:8" x14ac:dyDescent="0.25">
      <c r="A11" s="3" t="s">
        <v>472</v>
      </c>
      <c r="B11" s="4" t="s">
        <v>473</v>
      </c>
      <c r="C11" s="4" t="s">
        <v>460</v>
      </c>
      <c r="D11" s="13" t="s">
        <v>367</v>
      </c>
      <c r="E11" s="25">
        <v>40</v>
      </c>
      <c r="F11" s="26">
        <v>95</v>
      </c>
      <c r="G11" s="26">
        <f>IF(OR(E11="",F11=""),"",E11*F11)</f>
      </c>
      <c r="H11" s="4" t="s">
        <v>461</v>
      </c>
    </row>
    <row r="12" ht="19.5" customHeight="1" spans="1:8" x14ac:dyDescent="0.25">
      <c r="A12" s="32" t="s">
        <v>474</v>
      </c>
      <c r="B12"/>
      <c r="C12"/>
      <c r="D12"/>
      <c r="E12"/>
      <c r="F12"/>
      <c r="G12" s="33">
        <f>SUM(G5:G11)</f>
      </c>
      <c r="H12" s="32" t="s">
        <v>310</v>
      </c>
    </row>
    <row r="13" spans="1:1" x14ac:dyDescent="0.25"/>
    <row r="14" ht="19.5" customHeight="1" spans="1:8" x14ac:dyDescent="0.25">
      <c r="A14" s="5" t="s">
        <v>475</v>
      </c>
      <c r="B14"/>
      <c r="C14"/>
      <c r="D14"/>
      <c r="E14"/>
      <c r="F14"/>
      <c r="G14"/>
      <c r="H14"/>
    </row>
    <row r="15" ht="32" customHeight="1" spans="1:8" x14ac:dyDescent="0.25">
      <c r="A15" s="3" t="s">
        <v>476</v>
      </c>
      <c r="B15" s="4" t="s">
        <v>477</v>
      </c>
      <c r="C15" s="4" t="s">
        <v>460</v>
      </c>
      <c r="D15" s="13" t="s">
        <v>367</v>
      </c>
      <c r="E15" s="25">
        <v>520</v>
      </c>
      <c r="F15" s="26">
        <v>25</v>
      </c>
      <c r="G15" s="26">
        <f>IF(OR(E15="",F15=""),"",E15*F15)</f>
      </c>
      <c r="H15" s="4" t="s">
        <v>461</v>
      </c>
    </row>
    <row r="16" ht="18" customHeight="1" spans="1:8" x14ac:dyDescent="0.25">
      <c r="A16" s="27" t="s">
        <v>478</v>
      </c>
      <c r="B16" s="28" t="s">
        <v>479</v>
      </c>
      <c r="C16" s="28" t="s">
        <v>460</v>
      </c>
      <c r="D16" s="29" t="s">
        <v>367</v>
      </c>
      <c r="E16" s="30">
        <v>45</v>
      </c>
      <c r="F16" s="31">
        <v>30</v>
      </c>
      <c r="G16" s="31">
        <f>IF(OR(E16="",F16=""),"",E16*F16)</f>
      </c>
      <c r="H16" s="28" t="s">
        <v>461</v>
      </c>
    </row>
    <row r="17" ht="18" customHeight="1" spans="1:8" x14ac:dyDescent="0.25">
      <c r="A17" s="3" t="s">
        <v>480</v>
      </c>
      <c r="B17" s="4" t="s">
        <v>481</v>
      </c>
      <c r="C17" s="4" t="s">
        <v>460</v>
      </c>
      <c r="D17" s="13" t="s">
        <v>367</v>
      </c>
      <c r="E17" s="25">
        <v>60</v>
      </c>
      <c r="F17" s="26">
        <v>120</v>
      </c>
      <c r="G17" s="26">
        <f>IF(OR(E17="",F17=""),"",E17*F17)</f>
      </c>
      <c r="H17" s="4" t="s">
        <v>461</v>
      </c>
    </row>
    <row r="18" ht="18" customHeight="1" spans="1:8" x14ac:dyDescent="0.25">
      <c r="A18" s="27" t="s">
        <v>482</v>
      </c>
      <c r="B18" s="28" t="s">
        <v>483</v>
      </c>
      <c r="C18" s="28" t="s">
        <v>460</v>
      </c>
      <c r="D18" s="29" t="s">
        <v>367</v>
      </c>
      <c r="E18" s="30">
        <v>30</v>
      </c>
      <c r="F18" s="31">
        <v>95</v>
      </c>
      <c r="G18" s="31">
        <f>IF(OR(E18="",F18=""),"",E18*F18)</f>
      </c>
      <c r="H18" s="28" t="s">
        <v>461</v>
      </c>
    </row>
    <row r="19" ht="18" customHeight="1" spans="1:8" x14ac:dyDescent="0.25">
      <c r="A19" s="3" t="s">
        <v>484</v>
      </c>
      <c r="B19" s="4" t="s">
        <v>485</v>
      </c>
      <c r="C19" s="4" t="s">
        <v>460</v>
      </c>
      <c r="D19" s="13" t="s">
        <v>486</v>
      </c>
      <c r="E19" s="25">
        <v>25</v>
      </c>
      <c r="F19" s="26">
        <v>150</v>
      </c>
      <c r="G19" s="26">
        <f>IF(OR(E19="",F19=""),"",E19*F19)</f>
      </c>
      <c r="H19" s="4" t="s">
        <v>461</v>
      </c>
    </row>
    <row r="20" ht="18" customHeight="1" spans="1:8" x14ac:dyDescent="0.25">
      <c r="A20" s="27" t="s">
        <v>487</v>
      </c>
      <c r="B20" s="28" t="s">
        <v>488</v>
      </c>
      <c r="C20" s="28" t="s">
        <v>460</v>
      </c>
      <c r="D20" s="29" t="s">
        <v>367</v>
      </c>
      <c r="E20" s="30">
        <v>75</v>
      </c>
      <c r="F20" s="31">
        <v>60</v>
      </c>
      <c r="G20" s="31">
        <f>IF(OR(E20="",F20=""),"",E20*F20)</f>
      </c>
      <c r="H20" s="28" t="s">
        <v>461</v>
      </c>
    </row>
    <row r="21" ht="19.5" customHeight="1" spans="1:8" x14ac:dyDescent="0.25">
      <c r="A21" s="32" t="s">
        <v>489</v>
      </c>
      <c r="B21"/>
      <c r="C21"/>
      <c r="D21"/>
      <c r="E21"/>
      <c r="F21"/>
      <c r="G21" s="33">
        <f>SUM(G15:G20)</f>
      </c>
      <c r="H21" s="32" t="s">
        <v>310</v>
      </c>
    </row>
    <row r="22" spans="1:1" x14ac:dyDescent="0.25"/>
    <row r="23" ht="19.5" customHeight="1" spans="1:8" x14ac:dyDescent="0.25">
      <c r="A23" s="5" t="s">
        <v>490</v>
      </c>
      <c r="B23"/>
      <c r="C23"/>
      <c r="D23"/>
      <c r="E23"/>
      <c r="F23"/>
      <c r="G23"/>
      <c r="H23"/>
    </row>
    <row r="24" ht="18" customHeight="1" spans="1:8" x14ac:dyDescent="0.25">
      <c r="A24" s="3" t="s">
        <v>491</v>
      </c>
      <c r="B24" s="4" t="s">
        <v>492</v>
      </c>
      <c r="C24" s="4" t="s">
        <v>460</v>
      </c>
      <c r="D24" s="13" t="s">
        <v>367</v>
      </c>
      <c r="E24" s="25">
        <v>22</v>
      </c>
      <c r="F24" s="26">
        <v>125</v>
      </c>
      <c r="G24" s="26">
        <f>IF(OR(E24="",F24=""),"",E24*F24)</f>
      </c>
      <c r="H24" s="4" t="s">
        <v>461</v>
      </c>
    </row>
    <row r="25" ht="18" customHeight="1" spans="1:8" x14ac:dyDescent="0.25">
      <c r="A25" s="27" t="s">
        <v>493</v>
      </c>
      <c r="B25" s="28" t="s">
        <v>494</v>
      </c>
      <c r="C25" s="28" t="s">
        <v>460</v>
      </c>
      <c r="D25" s="29" t="s">
        <v>367</v>
      </c>
      <c r="E25" s="30">
        <v>18</v>
      </c>
      <c r="F25" s="31">
        <v>75</v>
      </c>
      <c r="G25" s="31">
        <f>IF(OR(E25="",F25=""),"",E25*F25)</f>
      </c>
      <c r="H25" s="28" t="s">
        <v>461</v>
      </c>
    </row>
    <row r="26" ht="18" customHeight="1" spans="1:8" x14ac:dyDescent="0.25">
      <c r="A26" s="3" t="s">
        <v>495</v>
      </c>
      <c r="B26" s="4" t="s">
        <v>496</v>
      </c>
      <c r="C26" s="4" t="s">
        <v>460</v>
      </c>
      <c r="D26" s="13" t="s">
        <v>367</v>
      </c>
      <c r="E26" s="25">
        <v>8</v>
      </c>
      <c r="F26" s="26">
        <v>3500</v>
      </c>
      <c r="G26" s="26">
        <f>IF(OR(E26="",F26=""),"",E26*F26)</f>
      </c>
      <c r="H26" s="4" t="s">
        <v>497</v>
      </c>
    </row>
    <row r="27" ht="18" customHeight="1" spans="1:8" x14ac:dyDescent="0.25">
      <c r="A27" s="27" t="s">
        <v>498</v>
      </c>
      <c r="B27" s="28" t="s">
        <v>499</v>
      </c>
      <c r="C27" s="28" t="s">
        <v>460</v>
      </c>
      <c r="D27" s="29" t="s">
        <v>367</v>
      </c>
      <c r="E27" s="30">
        <v>2</v>
      </c>
      <c r="F27" s="31">
        <v>8500</v>
      </c>
      <c r="G27" s="31">
        <f>IF(OR(E27="",F27=""),"",E27*F27)</f>
      </c>
      <c r="H27" s="28" t="s">
        <v>497</v>
      </c>
    </row>
    <row r="28" ht="19.5" customHeight="1" spans="1:8" x14ac:dyDescent="0.25">
      <c r="A28" s="32" t="s">
        <v>500</v>
      </c>
      <c r="B28"/>
      <c r="C28"/>
      <c r="D28"/>
      <c r="E28"/>
      <c r="F28"/>
      <c r="G28" s="33">
        <f>SUM(G24:G27)</f>
      </c>
      <c r="H28" s="32" t="s">
        <v>310</v>
      </c>
    </row>
    <row r="29" spans="1:1" x14ac:dyDescent="0.25"/>
    <row r="30" spans="1:1" x14ac:dyDescent="0.25"/>
    <row r="31" ht="24" customHeight="1" spans="1:8" x14ac:dyDescent="0.25">
      <c r="A31" s="34" t="s">
        <v>501</v>
      </c>
      <c r="B31"/>
      <c r="C31"/>
      <c r="D31"/>
      <c r="E31"/>
      <c r="F31"/>
      <c r="G31" s="35">
        <f>SUMIF(A4:A29,"*.*.*",G4:G29)</f>
      </c>
      <c r="H31" s="34" t="s">
        <v>310</v>
      </c>
    </row>
  </sheetData>
  <mergeCells count="9">
    <mergeCell ref="A1:H1"/>
    <mergeCell ref="A2:H2"/>
    <mergeCell ref="A4:H4"/>
    <mergeCell ref="A12:F12"/>
    <mergeCell ref="A14:H14"/>
    <mergeCell ref="A21:F21"/>
    <mergeCell ref="A23:H23"/>
    <mergeCell ref="A28:F28"/>
    <mergeCell ref="A31:F31"/>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7 — WIRING DEVICES &amp; ACCESSORIES&amp;RPage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502</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503</v>
      </c>
      <c r="B4"/>
      <c r="C4"/>
      <c r="D4"/>
      <c r="E4"/>
      <c r="F4"/>
      <c r="G4"/>
      <c r="H4"/>
    </row>
    <row r="5" ht="32" customHeight="1" spans="1:8" x14ac:dyDescent="0.25">
      <c r="A5" s="3" t="s">
        <v>504</v>
      </c>
      <c r="B5" s="4" t="s">
        <v>505</v>
      </c>
      <c r="C5" s="4" t="s">
        <v>460</v>
      </c>
      <c r="D5" s="13" t="s">
        <v>367</v>
      </c>
      <c r="E5" s="25">
        <v>480</v>
      </c>
      <c r="F5" s="26">
        <v>85</v>
      </c>
      <c r="G5" s="26">
        <f>IF(OR(E5="",F5=""),"",E5*F5)</f>
      </c>
      <c r="H5" s="4" t="s">
        <v>506</v>
      </c>
    </row>
    <row r="6" ht="32" customHeight="1" spans="1:8" x14ac:dyDescent="0.25">
      <c r="A6" s="27" t="s">
        <v>507</v>
      </c>
      <c r="B6" s="28" t="s">
        <v>508</v>
      </c>
      <c r="C6" s="28" t="s">
        <v>460</v>
      </c>
      <c r="D6" s="29" t="s">
        <v>367</v>
      </c>
      <c r="E6" s="30">
        <v>60</v>
      </c>
      <c r="F6" s="31">
        <v>640</v>
      </c>
      <c r="G6" s="31">
        <f>IF(OR(E6="",F6=""),"",E6*F6)</f>
      </c>
      <c r="H6" s="28" t="s">
        <v>506</v>
      </c>
    </row>
    <row r="7" ht="32" customHeight="1" spans="1:8" x14ac:dyDescent="0.25">
      <c r="A7" s="3" t="s">
        <v>509</v>
      </c>
      <c r="B7" s="4" t="s">
        <v>510</v>
      </c>
      <c r="C7" s="4" t="s">
        <v>460</v>
      </c>
      <c r="D7" s="13" t="s">
        <v>367</v>
      </c>
      <c r="E7" s="25">
        <v>220</v>
      </c>
      <c r="F7" s="26">
        <v>640</v>
      </c>
      <c r="G7" s="26">
        <f>IF(OR(E7="",F7=""),"",E7*F7)</f>
      </c>
      <c r="H7" s="4" t="s">
        <v>506</v>
      </c>
    </row>
    <row r="8" ht="32" customHeight="1" spans="1:8" x14ac:dyDescent="0.25">
      <c r="A8" s="27" t="s">
        <v>511</v>
      </c>
      <c r="B8" s="28" t="s">
        <v>512</v>
      </c>
      <c r="C8" s="28" t="s">
        <v>460</v>
      </c>
      <c r="D8" s="29" t="s">
        <v>367</v>
      </c>
      <c r="E8" s="30">
        <v>90</v>
      </c>
      <c r="F8" s="31">
        <v>95</v>
      </c>
      <c r="G8" s="31">
        <f>IF(OR(E8="",F8=""),"",E8*F8)</f>
      </c>
      <c r="H8" s="28" t="s">
        <v>506</v>
      </c>
    </row>
    <row r="9" ht="18" customHeight="1" spans="1:8" x14ac:dyDescent="0.25">
      <c r="A9" s="3" t="s">
        <v>513</v>
      </c>
      <c r="B9" s="4" t="s">
        <v>514</v>
      </c>
      <c r="C9" s="4" t="s">
        <v>460</v>
      </c>
      <c r="D9" s="13" t="s">
        <v>367</v>
      </c>
      <c r="E9" s="25">
        <v>65</v>
      </c>
      <c r="F9" s="26">
        <v>150</v>
      </c>
      <c r="G9" s="26">
        <f>IF(OR(E9="",F9=""),"",E9*F9)</f>
      </c>
      <c r="H9" s="4" t="s">
        <v>506</v>
      </c>
    </row>
    <row r="10" ht="18" customHeight="1" spans="1:8" x14ac:dyDescent="0.25">
      <c r="A10" s="27" t="s">
        <v>515</v>
      </c>
      <c r="B10" s="28" t="s">
        <v>516</v>
      </c>
      <c r="C10" s="28" t="s">
        <v>460</v>
      </c>
      <c r="D10" s="29" t="s">
        <v>367</v>
      </c>
      <c r="E10" s="30">
        <v>8</v>
      </c>
      <c r="F10" s="31">
        <v>450</v>
      </c>
      <c r="G10" s="31">
        <f>IF(OR(E10="",F10=""),"",E10*F10)</f>
      </c>
      <c r="H10" s="28" t="s">
        <v>506</v>
      </c>
    </row>
    <row r="11" ht="18" customHeight="1" spans="1:8" x14ac:dyDescent="0.25">
      <c r="A11" s="3" t="s">
        <v>517</v>
      </c>
      <c r="B11" s="4" t="s">
        <v>518</v>
      </c>
      <c r="C11" s="4" t="s">
        <v>460</v>
      </c>
      <c r="D11" s="13" t="s">
        <v>367</v>
      </c>
      <c r="E11" s="25">
        <v>40</v>
      </c>
      <c r="F11" s="26">
        <v>140</v>
      </c>
      <c r="G11" s="26">
        <f>IF(OR(E11="",F11=""),"",E11*F11)</f>
      </c>
      <c r="H11" s="4" t="s">
        <v>506</v>
      </c>
    </row>
    <row r="12" ht="19.5" customHeight="1" spans="1:8" x14ac:dyDescent="0.25">
      <c r="A12" s="32" t="s">
        <v>519</v>
      </c>
      <c r="B12"/>
      <c r="C12"/>
      <c r="D12"/>
      <c r="E12"/>
      <c r="F12"/>
      <c r="G12" s="33">
        <f>SUM(G5:G11)</f>
      </c>
      <c r="H12" s="32" t="s">
        <v>310</v>
      </c>
    </row>
    <row r="13" spans="1:1" x14ac:dyDescent="0.25"/>
    <row r="14" ht="19.5" customHeight="1" spans="1:8" x14ac:dyDescent="0.25">
      <c r="A14" s="5" t="s">
        <v>520</v>
      </c>
      <c r="B14"/>
      <c r="C14"/>
      <c r="D14"/>
      <c r="E14"/>
      <c r="F14"/>
      <c r="G14"/>
      <c r="H14"/>
    </row>
    <row r="15" ht="32" customHeight="1" spans="1:8" x14ac:dyDescent="0.25">
      <c r="A15" s="3" t="s">
        <v>521</v>
      </c>
      <c r="B15" s="4" t="s">
        <v>522</v>
      </c>
      <c r="C15" s="4" t="s">
        <v>523</v>
      </c>
      <c r="D15" s="13" t="s">
        <v>367</v>
      </c>
      <c r="E15" s="25">
        <v>36</v>
      </c>
      <c r="F15" s="26">
        <v>280</v>
      </c>
      <c r="G15" s="26">
        <f>IF(OR(E15="",F15=""),"",E15*F15)</f>
      </c>
      <c r="H15" s="4" t="s">
        <v>524</v>
      </c>
    </row>
    <row r="16" ht="18" customHeight="1" spans="1:8" x14ac:dyDescent="0.25">
      <c r="A16" s="27" t="s">
        <v>525</v>
      </c>
      <c r="B16" s="28" t="s">
        <v>526</v>
      </c>
      <c r="C16" s="28" t="s">
        <v>523</v>
      </c>
      <c r="D16" s="29" t="s">
        <v>367</v>
      </c>
      <c r="E16" s="30">
        <v>14</v>
      </c>
      <c r="F16" s="31">
        <v>1800</v>
      </c>
      <c r="G16" s="31">
        <f>IF(OR(E16="",F16=""),"",E16*F16)</f>
      </c>
      <c r="H16" s="28" t="s">
        <v>524</v>
      </c>
    </row>
    <row r="17" ht="18" customHeight="1" spans="1:8" x14ac:dyDescent="0.25">
      <c r="A17" s="3" t="s">
        <v>527</v>
      </c>
      <c r="B17" s="4" t="s">
        <v>528</v>
      </c>
      <c r="C17" s="4" t="s">
        <v>523</v>
      </c>
      <c r="D17" s="13" t="s">
        <v>367</v>
      </c>
      <c r="E17" s="25">
        <v>28</v>
      </c>
      <c r="F17" s="26">
        <v>95</v>
      </c>
      <c r="G17" s="26">
        <f>IF(OR(E17="",F17=""),"",E17*F17)</f>
      </c>
      <c r="H17" s="4" t="s">
        <v>524</v>
      </c>
    </row>
    <row r="18" ht="18" customHeight="1" spans="1:8" x14ac:dyDescent="0.25">
      <c r="A18" s="27" t="s">
        <v>529</v>
      </c>
      <c r="B18" s="28" t="s">
        <v>530</v>
      </c>
      <c r="C18" s="28" t="s">
        <v>523</v>
      </c>
      <c r="D18" s="29" t="s">
        <v>367</v>
      </c>
      <c r="E18" s="30">
        <v>16</v>
      </c>
      <c r="F18" s="31">
        <v>640</v>
      </c>
      <c r="G18" s="31">
        <f>IF(OR(E18="",F18=""),"",E18*F18)</f>
      </c>
      <c r="H18" s="28" t="s">
        <v>524</v>
      </c>
    </row>
    <row r="19" ht="18" customHeight="1" spans="1:8" x14ac:dyDescent="0.25">
      <c r="A19" s="3" t="s">
        <v>531</v>
      </c>
      <c r="B19" s="4" t="s">
        <v>532</v>
      </c>
      <c r="C19" s="4" t="s">
        <v>523</v>
      </c>
      <c r="D19" s="13" t="s">
        <v>299</v>
      </c>
      <c r="E19" s="25">
        <v>1</v>
      </c>
      <c r="F19" s="26">
        <v>85000</v>
      </c>
      <c r="G19" s="26">
        <f>IF(OR(E19="",F19=""),"",E19*F19)</f>
      </c>
      <c r="H19" s="4" t="s">
        <v>524</v>
      </c>
    </row>
    <row r="20" ht="19.5" customHeight="1" spans="1:8" x14ac:dyDescent="0.25">
      <c r="A20" s="32" t="s">
        <v>533</v>
      </c>
      <c r="B20"/>
      <c r="C20"/>
      <c r="D20"/>
      <c r="E20"/>
      <c r="F20"/>
      <c r="G20" s="33">
        <f>SUM(G15:G19)</f>
      </c>
      <c r="H20" s="32" t="s">
        <v>310</v>
      </c>
    </row>
    <row r="21" spans="1:1" x14ac:dyDescent="0.25"/>
    <row r="22" ht="19.5" customHeight="1" spans="1:8" x14ac:dyDescent="0.25">
      <c r="A22" s="5" t="s">
        <v>534</v>
      </c>
      <c r="B22"/>
      <c r="C22"/>
      <c r="D22"/>
      <c r="E22"/>
      <c r="F22"/>
      <c r="G22"/>
      <c r="H22"/>
    </row>
    <row r="23" ht="18" customHeight="1" spans="1:8" x14ac:dyDescent="0.25">
      <c r="A23" s="3" t="s">
        <v>535</v>
      </c>
      <c r="B23" s="4" t="s">
        <v>536</v>
      </c>
      <c r="C23" s="4" t="s">
        <v>537</v>
      </c>
      <c r="D23" s="13" t="s">
        <v>486</v>
      </c>
      <c r="E23" s="25">
        <v>1</v>
      </c>
      <c r="F23" s="26">
        <v>85000</v>
      </c>
      <c r="G23" s="26">
        <f>IF(OR(E23="",F23=""),"",E23*F23)</f>
      </c>
      <c r="H23" s="4" t="s">
        <v>524</v>
      </c>
    </row>
    <row r="24" ht="18" customHeight="1" spans="1:8" x14ac:dyDescent="0.25">
      <c r="A24" s="27" t="s">
        <v>538</v>
      </c>
      <c r="B24" s="28" t="s">
        <v>539</v>
      </c>
      <c r="C24" s="28" t="s">
        <v>537</v>
      </c>
      <c r="D24" s="29" t="s">
        <v>367</v>
      </c>
      <c r="E24" s="30">
        <v>4</v>
      </c>
      <c r="F24" s="31">
        <v>250</v>
      </c>
      <c r="G24" s="31">
        <f>IF(OR(E24="",F24=""),"",E24*F24)</f>
      </c>
      <c r="H24" s="28" t="s">
        <v>461</v>
      </c>
    </row>
    <row r="25" ht="18" customHeight="1" spans="1:8" x14ac:dyDescent="0.25">
      <c r="A25" s="3" t="s">
        <v>540</v>
      </c>
      <c r="B25" s="4" t="s">
        <v>541</v>
      </c>
      <c r="C25" s="4" t="s">
        <v>537</v>
      </c>
      <c r="D25" s="13" t="s">
        <v>299</v>
      </c>
      <c r="E25" s="25">
        <v>1</v>
      </c>
      <c r="F25" s="26">
        <v>120</v>
      </c>
      <c r="G25" s="26">
        <f>IF(OR(E25="",F25=""),"",E25*F25)</f>
      </c>
      <c r="H25" s="4" t="s">
        <v>506</v>
      </c>
    </row>
    <row r="26" ht="19.5" customHeight="1" spans="1:8" x14ac:dyDescent="0.25">
      <c r="A26" s="32" t="s">
        <v>542</v>
      </c>
      <c r="B26"/>
      <c r="C26"/>
      <c r="D26"/>
      <c r="E26"/>
      <c r="F26"/>
      <c r="G26" s="33">
        <f>SUM(G23:G25)</f>
      </c>
      <c r="H26" s="32" t="s">
        <v>310</v>
      </c>
    </row>
    <row r="27" spans="1:1" x14ac:dyDescent="0.25"/>
    <row r="28" spans="1:1" x14ac:dyDescent="0.25"/>
    <row r="29" ht="24" customHeight="1" spans="1:8" x14ac:dyDescent="0.25">
      <c r="A29" s="34" t="s">
        <v>543</v>
      </c>
      <c r="B29"/>
      <c r="C29"/>
      <c r="D29"/>
      <c r="E29"/>
      <c r="F29"/>
      <c r="G29" s="35">
        <f>SUMIF(A4:A27,"*.*.*",G4:G27)</f>
      </c>
      <c r="H29" s="34" t="s">
        <v>310</v>
      </c>
    </row>
  </sheetData>
  <mergeCells count="9">
    <mergeCell ref="A1:H1"/>
    <mergeCell ref="A2:H2"/>
    <mergeCell ref="A4:H4"/>
    <mergeCell ref="A12:F12"/>
    <mergeCell ref="A14:H14"/>
    <mergeCell ref="A20:F20"/>
    <mergeCell ref="A22:H22"/>
    <mergeCell ref="A26:F26"/>
    <mergeCell ref="A29:F29"/>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8 — LIGHTING FIXTURES (Internal + External)&amp;RPage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544</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545</v>
      </c>
      <c r="B4"/>
      <c r="C4"/>
      <c r="D4"/>
      <c r="E4"/>
      <c r="F4"/>
      <c r="G4"/>
      <c r="H4"/>
    </row>
    <row r="5" ht="32" customHeight="1" spans="1:8" x14ac:dyDescent="0.25">
      <c r="A5" s="3" t="s">
        <v>546</v>
      </c>
      <c r="B5" s="4" t="s">
        <v>547</v>
      </c>
      <c r="C5" s="4" t="s">
        <v>548</v>
      </c>
      <c r="D5" s="13" t="s">
        <v>367</v>
      </c>
      <c r="E5" s="25">
        <v>2</v>
      </c>
      <c r="F5" s="26">
        <v>14</v>
      </c>
      <c r="G5" s="26">
        <f>IF(OR(E5="",F5=""),"",E5*F5)</f>
      </c>
      <c r="H5" s="4" t="s">
        <v>549</v>
      </c>
    </row>
    <row r="6" ht="32" customHeight="1" spans="1:8" x14ac:dyDescent="0.25">
      <c r="A6" s="27" t="s">
        <v>550</v>
      </c>
      <c r="B6" s="28" t="s">
        <v>551</v>
      </c>
      <c r="C6" s="28" t="s">
        <v>548</v>
      </c>
      <c r="D6" s="29" t="s">
        <v>367</v>
      </c>
      <c r="E6" s="30">
        <v>4</v>
      </c>
      <c r="F6" s="31">
        <v>640</v>
      </c>
      <c r="G6" s="31">
        <f>IF(OR(E6="",F6=""),"",E6*F6)</f>
      </c>
      <c r="H6" s="28" t="s">
        <v>549</v>
      </c>
    </row>
    <row r="7" ht="32" customHeight="1" spans="1:8" x14ac:dyDescent="0.25">
      <c r="A7" s="3" t="s">
        <v>552</v>
      </c>
      <c r="B7" s="4" t="s">
        <v>553</v>
      </c>
      <c r="C7" s="4" t="s">
        <v>548</v>
      </c>
      <c r="D7" s="13" t="s">
        <v>373</v>
      </c>
      <c r="E7" s="25">
        <v>30</v>
      </c>
      <c r="F7" s="26">
        <v>36</v>
      </c>
      <c r="G7" s="26">
        <f>IF(OR(E7="",F7=""),"",E7*F7)</f>
      </c>
      <c r="H7" s="4" t="s">
        <v>549</v>
      </c>
    </row>
    <row r="8" ht="32" customHeight="1" spans="1:8" x14ac:dyDescent="0.25">
      <c r="A8" s="27" t="s">
        <v>554</v>
      </c>
      <c r="B8" s="28" t="s">
        <v>555</v>
      </c>
      <c r="C8" s="28" t="s">
        <v>548</v>
      </c>
      <c r="D8" s="29" t="s">
        <v>373</v>
      </c>
      <c r="E8" s="30">
        <v>40</v>
      </c>
      <c r="F8" s="31">
        <v>23</v>
      </c>
      <c r="G8" s="31">
        <f>IF(OR(E8="",F8=""),"",E8*F8)</f>
      </c>
      <c r="H8" s="28" t="s">
        <v>549</v>
      </c>
    </row>
    <row r="9" ht="32" customHeight="1" spans="1:8" x14ac:dyDescent="0.25">
      <c r="A9" s="3" t="s">
        <v>556</v>
      </c>
      <c r="B9" s="4" t="s">
        <v>557</v>
      </c>
      <c r="C9" s="4" t="s">
        <v>548</v>
      </c>
      <c r="D9" s="13" t="s">
        <v>373</v>
      </c>
      <c r="E9" s="25">
        <v>400</v>
      </c>
      <c r="F9" s="26">
        <v>17</v>
      </c>
      <c r="G9" s="26">
        <f>IF(OR(E9="",F9=""),"",E9*F9)</f>
      </c>
      <c r="H9" s="4" t="s">
        <v>558</v>
      </c>
    </row>
    <row r="10" ht="32" customHeight="1" spans="1:8" x14ac:dyDescent="0.25">
      <c r="A10" s="27" t="s">
        <v>559</v>
      </c>
      <c r="B10" s="28" t="s">
        <v>560</v>
      </c>
      <c r="C10" s="28" t="s">
        <v>548</v>
      </c>
      <c r="D10" s="29" t="s">
        <v>373</v>
      </c>
      <c r="E10" s="30">
        <v>600</v>
      </c>
      <c r="F10" s="31">
        <v>6</v>
      </c>
      <c r="G10" s="31">
        <f>IF(OR(E10="",F10=""),"",E10*F10)</f>
      </c>
      <c r="H10" s="28" t="s">
        <v>549</v>
      </c>
    </row>
    <row r="11" ht="32" customHeight="1" spans="1:8" x14ac:dyDescent="0.25">
      <c r="A11" s="3" t="s">
        <v>561</v>
      </c>
      <c r="B11" s="4" t="s">
        <v>562</v>
      </c>
      <c r="C11" s="4" t="s">
        <v>548</v>
      </c>
      <c r="D11" s="13" t="s">
        <v>299</v>
      </c>
      <c r="E11" s="25">
        <v>1</v>
      </c>
      <c r="F11" s="26">
        <v>11</v>
      </c>
      <c r="G11" s="26">
        <f>IF(OR(E11="",F11=""),"",E11*F11)</f>
      </c>
      <c r="H11" s="4" t="s">
        <v>549</v>
      </c>
    </row>
    <row r="12" ht="19.5" customHeight="1" spans="1:8" x14ac:dyDescent="0.25">
      <c r="A12" s="32" t="s">
        <v>563</v>
      </c>
      <c r="B12"/>
      <c r="C12"/>
      <c r="D12"/>
      <c r="E12"/>
      <c r="F12"/>
      <c r="G12" s="33">
        <f>SUM(G5:G11)</f>
      </c>
      <c r="H12" s="32" t="s">
        <v>310</v>
      </c>
    </row>
    <row r="13" spans="1:1" x14ac:dyDescent="0.25"/>
    <row r="14" ht="19.5" customHeight="1" spans="1:8" x14ac:dyDescent="0.25">
      <c r="A14" s="5" t="s">
        <v>564</v>
      </c>
      <c r="B14"/>
      <c r="C14"/>
      <c r="D14"/>
      <c r="E14"/>
      <c r="F14"/>
      <c r="G14"/>
      <c r="H14"/>
    </row>
    <row r="15" ht="32" customHeight="1" spans="1:8" x14ac:dyDescent="0.25">
      <c r="A15" s="3" t="s">
        <v>565</v>
      </c>
      <c r="B15" s="4" t="s">
        <v>566</v>
      </c>
      <c r="C15" s="4" t="s">
        <v>567</v>
      </c>
      <c r="D15" s="13" t="s">
        <v>367</v>
      </c>
      <c r="E15" s="25">
        <v>6</v>
      </c>
      <c r="F15" s="26">
        <v>1800</v>
      </c>
      <c r="G15" s="26">
        <f>IF(OR(E15="",F15=""),"",E15*F15)</f>
      </c>
      <c r="H15" s="4" t="s">
        <v>568</v>
      </c>
    </row>
    <row r="16" ht="32" customHeight="1" spans="1:8" x14ac:dyDescent="0.25">
      <c r="A16" s="27" t="s">
        <v>569</v>
      </c>
      <c r="B16" s="28" t="s">
        <v>570</v>
      </c>
      <c r="C16" s="28" t="s">
        <v>567</v>
      </c>
      <c r="D16" s="29" t="s">
        <v>373</v>
      </c>
      <c r="E16" s="30">
        <v>240</v>
      </c>
      <c r="F16" s="31">
        <v>85</v>
      </c>
      <c r="G16" s="31">
        <f>IF(OR(E16="",F16=""),"",E16*F16)</f>
      </c>
      <c r="H16" s="28" t="s">
        <v>568</v>
      </c>
    </row>
    <row r="17" ht="32" customHeight="1" spans="1:8" x14ac:dyDescent="0.25">
      <c r="A17" s="3" t="s">
        <v>571</v>
      </c>
      <c r="B17" s="4" t="s">
        <v>572</v>
      </c>
      <c r="C17" s="4" t="s">
        <v>567</v>
      </c>
      <c r="D17" s="13" t="s">
        <v>367</v>
      </c>
      <c r="E17" s="25">
        <v>4</v>
      </c>
      <c r="F17" s="26">
        <v>1200</v>
      </c>
      <c r="G17" s="26">
        <f>IF(OR(E17="",F17=""),"",E17*F17)</f>
      </c>
      <c r="H17" s="4" t="s">
        <v>568</v>
      </c>
    </row>
    <row r="18" ht="18" customHeight="1" spans="1:8" x14ac:dyDescent="0.25">
      <c r="A18" s="27" t="s">
        <v>573</v>
      </c>
      <c r="B18" s="28" t="s">
        <v>574</v>
      </c>
      <c r="C18" s="28" t="s">
        <v>567</v>
      </c>
      <c r="D18" s="29" t="s">
        <v>367</v>
      </c>
      <c r="E18" s="30">
        <v>4</v>
      </c>
      <c r="F18" s="31">
        <v>3500</v>
      </c>
      <c r="G18" s="31">
        <f>IF(OR(E18="",F18=""),"",E18*F18)</f>
      </c>
      <c r="H18" s="28" t="s">
        <v>568</v>
      </c>
    </row>
    <row r="19" ht="18" customHeight="1" spans="1:8" x14ac:dyDescent="0.25">
      <c r="A19" s="3" t="s">
        <v>575</v>
      </c>
      <c r="B19" s="4" t="s">
        <v>576</v>
      </c>
      <c r="C19" s="4" t="s">
        <v>567</v>
      </c>
      <c r="D19" s="13" t="s">
        <v>367</v>
      </c>
      <c r="E19" s="25">
        <v>2</v>
      </c>
      <c r="F19" s="26">
        <v>4500</v>
      </c>
      <c r="G19" s="26">
        <f>IF(OR(E19="",F19=""),"",E19*F19)</f>
      </c>
      <c r="H19" s="4" t="s">
        <v>568</v>
      </c>
    </row>
    <row r="20" ht="32" customHeight="1" spans="1:8" x14ac:dyDescent="0.25">
      <c r="A20" s="27" t="s">
        <v>577</v>
      </c>
      <c r="B20" s="28" t="s">
        <v>578</v>
      </c>
      <c r="C20" s="28" t="s">
        <v>567</v>
      </c>
      <c r="D20" s="29" t="s">
        <v>299</v>
      </c>
      <c r="E20" s="30">
        <v>1</v>
      </c>
      <c r="F20" s="31">
        <v>8000</v>
      </c>
      <c r="G20" s="31">
        <f>IF(OR(E20="",F20=""),"",E20*F20)</f>
      </c>
      <c r="H20" s="28" t="s">
        <v>568</v>
      </c>
    </row>
    <row r="21" ht="18" customHeight="1" spans="1:8" x14ac:dyDescent="0.25">
      <c r="A21" s="3" t="s">
        <v>579</v>
      </c>
      <c r="B21" s="4" t="s">
        <v>580</v>
      </c>
      <c r="C21" s="4" t="s">
        <v>567</v>
      </c>
      <c r="D21" s="13" t="s">
        <v>299</v>
      </c>
      <c r="E21" s="25">
        <v>1</v>
      </c>
      <c r="F21" s="26">
        <v>6500</v>
      </c>
      <c r="G21" s="26">
        <f>IF(OR(E21="",F21=""),"",E21*F21)</f>
      </c>
      <c r="H21" s="4" t="s">
        <v>568</v>
      </c>
    </row>
    <row r="22" ht="19.5" customHeight="1" spans="1:8" x14ac:dyDescent="0.25">
      <c r="A22" s="32" t="s">
        <v>581</v>
      </c>
      <c r="B22"/>
      <c r="C22"/>
      <c r="D22"/>
      <c r="E22"/>
      <c r="F22"/>
      <c r="G22" s="33">
        <f>SUM(G15:G21)</f>
      </c>
      <c r="H22" s="32" t="s">
        <v>310</v>
      </c>
    </row>
    <row r="23" spans="1:1" x14ac:dyDescent="0.25"/>
    <row r="24" spans="1:1" x14ac:dyDescent="0.25"/>
    <row r="25" ht="24" customHeight="1" spans="1:8" x14ac:dyDescent="0.25">
      <c r="A25" s="34" t="s">
        <v>582</v>
      </c>
      <c r="B25"/>
      <c r="C25"/>
      <c r="D25"/>
      <c r="E25"/>
      <c r="F25"/>
      <c r="G25" s="35">
        <f>SUMIF(A4:A23,"*.*.*",G4:G23)</f>
      </c>
      <c r="H25" s="34" t="s">
        <v>310</v>
      </c>
    </row>
  </sheetData>
  <mergeCells count="7">
    <mergeCell ref="A1:H1"/>
    <mergeCell ref="A2:H2"/>
    <mergeCell ref="A4:H4"/>
    <mergeCell ref="A12:F12"/>
    <mergeCell ref="A14:H14"/>
    <mergeCell ref="A22:F22"/>
    <mergeCell ref="A25:F2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9 — EARTHING &amp; LIGHTNING PROTECTION&amp;RPage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583</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584</v>
      </c>
      <c r="B4"/>
      <c r="C4"/>
      <c r="D4"/>
      <c r="E4"/>
      <c r="F4"/>
      <c r="G4"/>
      <c r="H4"/>
    </row>
    <row r="5" ht="32" customHeight="1" spans="1:8" x14ac:dyDescent="0.25">
      <c r="A5" s="3" t="s">
        <v>585</v>
      </c>
      <c r="B5" s="4" t="s">
        <v>586</v>
      </c>
      <c r="C5" s="4" t="s">
        <v>587</v>
      </c>
      <c r="D5" s="13" t="s">
        <v>367</v>
      </c>
      <c r="E5" s="25">
        <v>96</v>
      </c>
      <c r="F5" s="26">
        <v>85</v>
      </c>
      <c r="G5" s="26">
        <f>IF(OR(E5="",F5=""),"",E5*F5)</f>
      </c>
      <c r="H5" s="4" t="s">
        <v>506</v>
      </c>
    </row>
    <row r="6" ht="32" customHeight="1" spans="1:8" x14ac:dyDescent="0.25">
      <c r="A6" s="27" t="s">
        <v>588</v>
      </c>
      <c r="B6" s="28" t="s">
        <v>589</v>
      </c>
      <c r="C6" s="28" t="s">
        <v>587</v>
      </c>
      <c r="D6" s="29" t="s">
        <v>367</v>
      </c>
      <c r="E6" s="30">
        <v>48</v>
      </c>
      <c r="F6" s="31">
        <v>380</v>
      </c>
      <c r="G6" s="31">
        <f>IF(OR(E6="",F6=""),"",E6*F6)</f>
      </c>
      <c r="H6" s="28" t="s">
        <v>590</v>
      </c>
    </row>
    <row r="7" ht="32" customHeight="1" spans="1:8" x14ac:dyDescent="0.25">
      <c r="A7" s="3" t="s">
        <v>591</v>
      </c>
      <c r="B7" s="4" t="s">
        <v>592</v>
      </c>
      <c r="C7" s="4" t="s">
        <v>587</v>
      </c>
      <c r="D7" s="13" t="s">
        <v>367</v>
      </c>
      <c r="E7" s="25">
        <v>64</v>
      </c>
      <c r="F7" s="26">
        <v>320</v>
      </c>
      <c r="G7" s="26">
        <f>IF(OR(E7="",F7=""),"",E7*F7)</f>
      </c>
      <c r="H7" s="4" t="s">
        <v>590</v>
      </c>
    </row>
    <row r="8" ht="18" customHeight="1" spans="1:8" x14ac:dyDescent="0.25">
      <c r="A8" s="27" t="s">
        <v>593</v>
      </c>
      <c r="B8" s="28" t="s">
        <v>594</v>
      </c>
      <c r="C8" s="28" t="s">
        <v>587</v>
      </c>
      <c r="D8" s="29" t="s">
        <v>367</v>
      </c>
      <c r="E8" s="30">
        <v>18</v>
      </c>
      <c r="F8" s="31">
        <v>480</v>
      </c>
      <c r="G8" s="31">
        <f>IF(OR(E8="",F8=""),"",E8*F8)</f>
      </c>
      <c r="H8" s="28" t="s">
        <v>590</v>
      </c>
    </row>
    <row r="9" ht="19.5" customHeight="1" spans="1:8" x14ac:dyDescent="0.25">
      <c r="A9" s="32" t="s">
        <v>595</v>
      </c>
      <c r="B9"/>
      <c r="C9"/>
      <c r="D9"/>
      <c r="E9"/>
      <c r="F9"/>
      <c r="G9" s="33">
        <f>SUM(G5:G8)</f>
      </c>
      <c r="H9" s="32" t="s">
        <v>310</v>
      </c>
    </row>
    <row r="10" spans="1:1" x14ac:dyDescent="0.25"/>
    <row r="11" ht="19.5" customHeight="1" spans="1:8" x14ac:dyDescent="0.25">
      <c r="A11" s="5" t="s">
        <v>596</v>
      </c>
      <c r="B11"/>
      <c r="C11"/>
      <c r="D11"/>
      <c r="E11"/>
      <c r="F11"/>
      <c r="G11"/>
      <c r="H11"/>
    </row>
    <row r="12" ht="32" customHeight="1" spans="1:8" x14ac:dyDescent="0.25">
      <c r="A12" s="3" t="s">
        <v>597</v>
      </c>
      <c r="B12" s="4" t="s">
        <v>598</v>
      </c>
      <c r="C12" s="4" t="s">
        <v>599</v>
      </c>
      <c r="D12" s="13" t="s">
        <v>486</v>
      </c>
      <c r="E12" s="25">
        <v>1</v>
      </c>
      <c r="F12" s="26">
        <v>13800</v>
      </c>
      <c r="G12" s="26">
        <f>IF(OR(E12="",F12=""),"",E12*F12)</f>
      </c>
      <c r="H12" s="4" t="s">
        <v>461</v>
      </c>
    </row>
    <row r="13" ht="18" customHeight="1" spans="1:8" x14ac:dyDescent="0.25">
      <c r="A13" s="27" t="s">
        <v>600</v>
      </c>
      <c r="B13" s="28" t="s">
        <v>601</v>
      </c>
      <c r="C13" s="28" t="s">
        <v>599</v>
      </c>
      <c r="D13" s="29" t="s">
        <v>486</v>
      </c>
      <c r="E13" s="30">
        <v>1</v>
      </c>
      <c r="F13" s="31">
        <v>110</v>
      </c>
      <c r="G13" s="31">
        <f>IF(OR(E13="",F13=""),"",E13*F13)</f>
      </c>
      <c r="H13" s="28" t="s">
        <v>461</v>
      </c>
    </row>
    <row r="14" ht="32" customHeight="1" spans="1:8" x14ac:dyDescent="0.25">
      <c r="A14" s="3" t="s">
        <v>602</v>
      </c>
      <c r="B14" s="4" t="s">
        <v>603</v>
      </c>
      <c r="C14" s="4" t="s">
        <v>599</v>
      </c>
      <c r="D14" s="13" t="s">
        <v>486</v>
      </c>
      <c r="E14" s="25">
        <v>1</v>
      </c>
      <c r="F14" s="26">
        <v>110</v>
      </c>
      <c r="G14" s="26">
        <f>IF(OR(E14="",F14=""),"",E14*F14)</f>
      </c>
      <c r="H14" s="4" t="s">
        <v>461</v>
      </c>
    </row>
    <row r="15" ht="32" customHeight="1" spans="1:8" x14ac:dyDescent="0.25">
      <c r="A15" s="27" t="s">
        <v>604</v>
      </c>
      <c r="B15" s="28" t="s">
        <v>605</v>
      </c>
      <c r="C15" s="28" t="s">
        <v>599</v>
      </c>
      <c r="D15" s="29" t="s">
        <v>486</v>
      </c>
      <c r="E15" s="30">
        <v>1</v>
      </c>
      <c r="F15" s="31">
        <v>22000</v>
      </c>
      <c r="G15" s="31">
        <f>IF(OR(E15="",F15=""),"",E15*F15)</f>
      </c>
      <c r="H15" s="28" t="s">
        <v>606</v>
      </c>
    </row>
    <row r="16" ht="18" customHeight="1" spans="1:8" x14ac:dyDescent="0.25">
      <c r="A16" s="3" t="s">
        <v>607</v>
      </c>
      <c r="B16" s="4" t="s">
        <v>608</v>
      </c>
      <c r="C16" s="4" t="s">
        <v>599</v>
      </c>
      <c r="D16" s="13" t="s">
        <v>486</v>
      </c>
      <c r="E16" s="25">
        <v>1</v>
      </c>
      <c r="F16" s="26">
        <v>28000</v>
      </c>
      <c r="G16" s="26">
        <f>IF(OR(E16="",F16=""),"",E16*F16)</f>
      </c>
      <c r="H16" s="4" t="s">
        <v>606</v>
      </c>
    </row>
    <row r="17" ht="19.5" customHeight="1" spans="1:8" x14ac:dyDescent="0.25">
      <c r="A17" s="32" t="s">
        <v>609</v>
      </c>
      <c r="B17"/>
      <c r="C17"/>
      <c r="D17"/>
      <c r="E17"/>
      <c r="F17"/>
      <c r="G17" s="33">
        <f>SUM(G12:G16)</f>
      </c>
      <c r="H17" s="32" t="s">
        <v>310</v>
      </c>
    </row>
    <row r="18" spans="1:1" x14ac:dyDescent="0.25"/>
    <row r="19" ht="19.5" customHeight="1" spans="1:8" x14ac:dyDescent="0.25">
      <c r="A19" s="5" t="s">
        <v>610</v>
      </c>
      <c r="B19"/>
      <c r="C19"/>
      <c r="D19"/>
      <c r="E19"/>
      <c r="F19"/>
      <c r="G19"/>
      <c r="H19"/>
    </row>
    <row r="20" ht="46" customHeight="1" spans="1:8" x14ac:dyDescent="0.25">
      <c r="A20" s="3" t="s">
        <v>611</v>
      </c>
      <c r="B20" s="4" t="s">
        <v>612</v>
      </c>
      <c r="C20" s="4" t="s">
        <v>613</v>
      </c>
      <c r="D20" s="13" t="s">
        <v>299</v>
      </c>
      <c r="E20" s="25">
        <v>1</v>
      </c>
      <c r="F20" s="26">
        <v>85000</v>
      </c>
      <c r="G20" s="26">
        <f>IF(OR(E20="",F20=""),"",E20*F20)</f>
      </c>
      <c r="H20" s="4" t="s">
        <v>614</v>
      </c>
    </row>
    <row r="21" ht="46" customHeight="1" spans="1:8" x14ac:dyDescent="0.25">
      <c r="A21" s="27" t="s">
        <v>615</v>
      </c>
      <c r="B21" s="28" t="s">
        <v>616</v>
      </c>
      <c r="C21" s="28" t="s">
        <v>613</v>
      </c>
      <c r="D21" s="29" t="s">
        <v>373</v>
      </c>
      <c r="E21" s="30">
        <v>180</v>
      </c>
      <c r="F21" s="31">
        <v>38</v>
      </c>
      <c r="G21" s="31">
        <f>IF(OR(E21="",F21=""),"",E21*F21)</f>
      </c>
      <c r="H21" s="28" t="s">
        <v>614</v>
      </c>
    </row>
    <row r="22" ht="32" customHeight="1" spans="1:8" x14ac:dyDescent="0.25">
      <c r="A22" s="3" t="s">
        <v>617</v>
      </c>
      <c r="B22" s="4" t="s">
        <v>618</v>
      </c>
      <c r="C22" s="4" t="s">
        <v>613</v>
      </c>
      <c r="D22" s="13" t="s">
        <v>299</v>
      </c>
      <c r="E22" s="25">
        <v>1</v>
      </c>
      <c r="F22" s="26">
        <v>8500</v>
      </c>
      <c r="G22" s="26">
        <f>IF(OR(E22="",F22=""),"",E22*F22)</f>
      </c>
      <c r="H22" s="4" t="s">
        <v>606</v>
      </c>
    </row>
    <row r="23" ht="19.5" customHeight="1" spans="1:8" x14ac:dyDescent="0.25">
      <c r="A23" s="32" t="s">
        <v>619</v>
      </c>
      <c r="B23"/>
      <c r="C23"/>
      <c r="D23"/>
      <c r="E23"/>
      <c r="F23"/>
      <c r="G23" s="33">
        <f>SUM(G20:G22)</f>
      </c>
      <c r="H23" s="32" t="s">
        <v>310</v>
      </c>
    </row>
    <row r="24" spans="1:1" x14ac:dyDescent="0.25"/>
    <row r="25" ht="19.5" customHeight="1" spans="1:8" x14ac:dyDescent="0.25">
      <c r="A25" s="5" t="s">
        <v>620</v>
      </c>
      <c r="B25"/>
      <c r="C25"/>
      <c r="D25"/>
      <c r="E25"/>
      <c r="F25"/>
      <c r="G25"/>
      <c r="H25"/>
    </row>
    <row r="26" ht="32" customHeight="1" spans="1:8" x14ac:dyDescent="0.25">
      <c r="A26" s="3" t="s">
        <v>621</v>
      </c>
      <c r="B26" s="4" t="s">
        <v>622</v>
      </c>
      <c r="C26" s="4" t="s">
        <v>623</v>
      </c>
      <c r="D26" s="13" t="s">
        <v>367</v>
      </c>
      <c r="E26" s="25">
        <v>1</v>
      </c>
      <c r="F26" s="26">
        <v>1800</v>
      </c>
      <c r="G26" s="26">
        <f>IF(OR(E26="",F26=""),"",E26*F26)</f>
      </c>
      <c r="H26" s="4" t="s">
        <v>624</v>
      </c>
    </row>
    <row r="27" ht="46" customHeight="1" spans="1:8" x14ac:dyDescent="0.25">
      <c r="A27" s="27" t="s">
        <v>625</v>
      </c>
      <c r="B27" s="28" t="s">
        <v>626</v>
      </c>
      <c r="C27" s="28" t="s">
        <v>623</v>
      </c>
      <c r="D27" s="29" t="s">
        <v>367</v>
      </c>
      <c r="E27" s="30">
        <v>8</v>
      </c>
      <c r="F27" s="31">
        <v>1800</v>
      </c>
      <c r="G27" s="31">
        <f>IF(OR(E27="",F27=""),"",E27*F27)</f>
      </c>
      <c r="H27" s="28" t="s">
        <v>624</v>
      </c>
    </row>
    <row r="28" ht="32" customHeight="1" spans="1:8" x14ac:dyDescent="0.25">
      <c r="A28" s="3" t="s">
        <v>627</v>
      </c>
      <c r="B28" s="4" t="s">
        <v>628</v>
      </c>
      <c r="C28" s="4" t="s">
        <v>623</v>
      </c>
      <c r="D28" s="13" t="s">
        <v>367</v>
      </c>
      <c r="E28" s="25">
        <v>4</v>
      </c>
      <c r="F28" s="26">
        <v>6500</v>
      </c>
      <c r="G28" s="26">
        <f>IF(OR(E28="",F28=""),"",E28*F28)</f>
      </c>
      <c r="H28" s="4" t="s">
        <v>629</v>
      </c>
    </row>
    <row r="29" ht="46" customHeight="1" spans="1:8" x14ac:dyDescent="0.25">
      <c r="A29" s="27" t="s">
        <v>630</v>
      </c>
      <c r="B29" s="28" t="s">
        <v>631</v>
      </c>
      <c r="C29" s="28" t="s">
        <v>623</v>
      </c>
      <c r="D29" s="29" t="s">
        <v>367</v>
      </c>
      <c r="E29" s="30">
        <v>24</v>
      </c>
      <c r="F29" s="31">
        <v>1200</v>
      </c>
      <c r="G29" s="31">
        <f>IF(OR(E29="",F29=""),"",E29*F29)</f>
      </c>
      <c r="H29" s="28" t="s">
        <v>632</v>
      </c>
    </row>
    <row r="30" ht="46" customHeight="1" spans="1:8" x14ac:dyDescent="0.25">
      <c r="A30" s="3" t="s">
        <v>633</v>
      </c>
      <c r="B30" s="4" t="s">
        <v>634</v>
      </c>
      <c r="C30" s="4" t="s">
        <v>623</v>
      </c>
      <c r="D30" s="13" t="s">
        <v>367</v>
      </c>
      <c r="E30" s="25">
        <v>12</v>
      </c>
      <c r="F30" s="26">
        <v>950</v>
      </c>
      <c r="G30" s="26">
        <f>IF(OR(E30="",F30=""),"",E30*F30)</f>
      </c>
      <c r="H30" s="4" t="s">
        <v>632</v>
      </c>
    </row>
    <row r="31" ht="46" customHeight="1" spans="1:8" x14ac:dyDescent="0.25">
      <c r="A31" s="27" t="s">
        <v>635</v>
      </c>
      <c r="B31" s="28" t="s">
        <v>636</v>
      </c>
      <c r="C31" s="28" t="s">
        <v>623</v>
      </c>
      <c r="D31" s="29" t="s">
        <v>486</v>
      </c>
      <c r="E31" s="30">
        <v>1</v>
      </c>
      <c r="F31" s="31">
        <v>18000</v>
      </c>
      <c r="G31" s="31">
        <f>IF(OR(E31="",F31=""),"",E31*F31)</f>
      </c>
      <c r="H31" s="28" t="s">
        <v>632</v>
      </c>
    </row>
    <row r="32" ht="46" customHeight="1" spans="1:8" x14ac:dyDescent="0.25">
      <c r="A32" s="3" t="s">
        <v>637</v>
      </c>
      <c r="B32" s="4" t="s">
        <v>638</v>
      </c>
      <c r="C32" s="4" t="s">
        <v>623</v>
      </c>
      <c r="D32" s="13" t="s">
        <v>373</v>
      </c>
      <c r="E32" s="25">
        <v>280</v>
      </c>
      <c r="F32" s="26">
        <v>65</v>
      </c>
      <c r="G32" s="26">
        <f>IF(OR(E32="",F32=""),"",E32*F32)</f>
      </c>
      <c r="H32" s="4" t="s">
        <v>624</v>
      </c>
    </row>
    <row r="33" ht="19.5" customHeight="1" spans="1:8" x14ac:dyDescent="0.25">
      <c r="A33" s="32" t="s">
        <v>639</v>
      </c>
      <c r="B33"/>
      <c r="C33"/>
      <c r="D33"/>
      <c r="E33"/>
      <c r="F33"/>
      <c r="G33" s="33">
        <f>SUM(G26:G32)</f>
      </c>
      <c r="H33" s="32" t="s">
        <v>310</v>
      </c>
    </row>
    <row r="34" spans="1:1" x14ac:dyDescent="0.25"/>
    <row r="35" spans="1:1" x14ac:dyDescent="0.25"/>
    <row r="36" ht="24" customHeight="1" spans="1:8" x14ac:dyDescent="0.25">
      <c r="A36" s="34" t="s">
        <v>640</v>
      </c>
      <c r="B36"/>
      <c r="C36"/>
      <c r="D36"/>
      <c r="E36"/>
      <c r="F36"/>
      <c r="G36" s="35">
        <f>SUMIF(A4:A34,"*.*.*",G4:G34)</f>
      </c>
      <c r="H36" s="34" t="s">
        <v>310</v>
      </c>
    </row>
  </sheetData>
  <mergeCells count="11">
    <mergeCell ref="A1:H1"/>
    <mergeCell ref="A2:H2"/>
    <mergeCell ref="A4:H4"/>
    <mergeCell ref="A9:F9"/>
    <mergeCell ref="A11:H11"/>
    <mergeCell ref="A17:F17"/>
    <mergeCell ref="A19:H19"/>
    <mergeCell ref="A23:F23"/>
    <mergeCell ref="A25:H25"/>
    <mergeCell ref="A33:F33"/>
    <mergeCell ref="A36:F3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10 — EMERGENCY LIGHTING &amp; LIFE SAFETY&amp;RPage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641</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642</v>
      </c>
      <c r="B4"/>
      <c r="C4"/>
      <c r="D4"/>
      <c r="E4"/>
      <c r="F4"/>
      <c r="G4"/>
      <c r="H4"/>
    </row>
    <row r="5" ht="32" customHeight="1" spans="1:8" x14ac:dyDescent="0.25">
      <c r="A5" s="3" t="s">
        <v>643</v>
      </c>
      <c r="B5" s="4" t="s">
        <v>644</v>
      </c>
      <c r="C5" s="4" t="s">
        <v>645</v>
      </c>
      <c r="D5" s="13" t="s">
        <v>373</v>
      </c>
      <c r="E5" s="25">
        <v>1200</v>
      </c>
      <c r="F5" s="26">
        <v>48</v>
      </c>
      <c r="G5" s="26">
        <f>IF(OR(E5="",F5=""),"",E5*F5)</f>
      </c>
      <c r="H5" s="4" t="s">
        <v>447</v>
      </c>
    </row>
    <row r="6" ht="32" customHeight="1" spans="1:8" x14ac:dyDescent="0.25">
      <c r="A6" s="27" t="s">
        <v>646</v>
      </c>
      <c r="B6" s="28" t="s">
        <v>647</v>
      </c>
      <c r="C6" s="28" t="s">
        <v>645</v>
      </c>
      <c r="D6" s="29" t="s">
        <v>373</v>
      </c>
      <c r="E6" s="30">
        <v>600</v>
      </c>
      <c r="F6" s="31">
        <v>48</v>
      </c>
      <c r="G6" s="31">
        <f>IF(OR(E6="",F6=""),"",E6*F6)</f>
      </c>
      <c r="H6" s="28" t="s">
        <v>447</v>
      </c>
    </row>
    <row r="7" ht="32" customHeight="1" spans="1:8" x14ac:dyDescent="0.25">
      <c r="A7" s="3" t="s">
        <v>648</v>
      </c>
      <c r="B7" s="4" t="s">
        <v>649</v>
      </c>
      <c r="C7" s="4" t="s">
        <v>645</v>
      </c>
      <c r="D7" s="13" t="s">
        <v>373</v>
      </c>
      <c r="E7" s="25">
        <v>350</v>
      </c>
      <c r="F7" s="26">
        <v>14</v>
      </c>
      <c r="G7" s="26">
        <f>IF(OR(E7="",F7=""),"",E7*F7)</f>
      </c>
      <c r="H7" s="4" t="s">
        <v>447</v>
      </c>
    </row>
    <row r="8" ht="32" customHeight="1" spans="1:8" x14ac:dyDescent="0.25">
      <c r="A8" s="27" t="s">
        <v>650</v>
      </c>
      <c r="B8" s="28" t="s">
        <v>651</v>
      </c>
      <c r="C8" s="28" t="s">
        <v>645</v>
      </c>
      <c r="D8" s="29" t="s">
        <v>373</v>
      </c>
      <c r="E8" s="30">
        <v>800</v>
      </c>
      <c r="F8" s="31">
        <v>14</v>
      </c>
      <c r="G8" s="31">
        <f>IF(OR(E8="",F8=""),"",E8*F8)</f>
      </c>
      <c r="H8" s="28" t="s">
        <v>447</v>
      </c>
    </row>
    <row r="9" ht="32" customHeight="1" spans="1:8" x14ac:dyDescent="0.25">
      <c r="A9" s="3" t="s">
        <v>652</v>
      </c>
      <c r="B9" s="4" t="s">
        <v>653</v>
      </c>
      <c r="C9" s="4" t="s">
        <v>645</v>
      </c>
      <c r="D9" s="13" t="s">
        <v>373</v>
      </c>
      <c r="E9" s="25">
        <v>900</v>
      </c>
      <c r="F9" s="26">
        <v>99</v>
      </c>
      <c r="G9" s="26">
        <f>IF(OR(E9="",F9=""),"",E9*F9)</f>
      </c>
      <c r="H9" s="4" t="s">
        <v>447</v>
      </c>
    </row>
    <row r="10" ht="32" customHeight="1" spans="1:8" x14ac:dyDescent="0.25">
      <c r="A10" s="27" t="s">
        <v>654</v>
      </c>
      <c r="B10" s="28" t="s">
        <v>655</v>
      </c>
      <c r="C10" s="28" t="s">
        <v>645</v>
      </c>
      <c r="D10" s="29" t="s">
        <v>373</v>
      </c>
      <c r="E10" s="30">
        <v>600</v>
      </c>
      <c r="F10" s="31">
        <v>14</v>
      </c>
      <c r="G10" s="31">
        <f>IF(OR(E10="",F10=""),"",E10*F10)</f>
      </c>
      <c r="H10" s="28" t="s">
        <v>447</v>
      </c>
    </row>
    <row r="11" ht="18" customHeight="1" spans="1:8" x14ac:dyDescent="0.25">
      <c r="A11" s="3" t="s">
        <v>656</v>
      </c>
      <c r="B11" s="4" t="s">
        <v>657</v>
      </c>
      <c r="C11" s="4" t="s">
        <v>645</v>
      </c>
      <c r="D11" s="13" t="s">
        <v>373</v>
      </c>
      <c r="E11" s="25">
        <v>250</v>
      </c>
      <c r="F11" s="26">
        <v>14</v>
      </c>
      <c r="G11" s="26">
        <f>IF(OR(E11="",F11=""),"",E11*F11)</f>
      </c>
      <c r="H11" s="4" t="s">
        <v>447</v>
      </c>
    </row>
    <row r="12" ht="32" customHeight="1" spans="1:8" x14ac:dyDescent="0.25">
      <c r="A12" s="27" t="s">
        <v>658</v>
      </c>
      <c r="B12" s="28" t="s">
        <v>659</v>
      </c>
      <c r="C12" s="28" t="s">
        <v>645</v>
      </c>
      <c r="D12" s="29" t="s">
        <v>373</v>
      </c>
      <c r="E12" s="30">
        <v>80</v>
      </c>
      <c r="F12" s="31">
        <v>160</v>
      </c>
      <c r="G12" s="31">
        <f>IF(OR(E12="",F12=""),"",E12*F12)</f>
      </c>
      <c r="H12" s="28" t="s">
        <v>447</v>
      </c>
    </row>
    <row r="13" ht="19.5" customHeight="1" spans="1:8" x14ac:dyDescent="0.25">
      <c r="A13" s="32" t="s">
        <v>660</v>
      </c>
      <c r="B13"/>
      <c r="C13"/>
      <c r="D13"/>
      <c r="E13"/>
      <c r="F13"/>
      <c r="G13" s="33">
        <f>SUM(G5:G12)</f>
      </c>
      <c r="H13" s="32" t="s">
        <v>310</v>
      </c>
    </row>
    <row r="14" spans="1:1" x14ac:dyDescent="0.25"/>
    <row r="15" spans="1:1" x14ac:dyDescent="0.25"/>
    <row r="16" ht="24" customHeight="1" spans="1:8" x14ac:dyDescent="0.25">
      <c r="A16" s="34" t="s">
        <v>661</v>
      </c>
      <c r="B16"/>
      <c r="C16"/>
      <c r="D16"/>
      <c r="E16"/>
      <c r="F16"/>
      <c r="G16" s="35">
        <f>SUMIF(A4:A14,"*.*.*",G4:G14)</f>
      </c>
      <c r="H16" s="34" t="s">
        <v>310</v>
      </c>
    </row>
  </sheetData>
  <mergeCells count="5">
    <mergeCell ref="A1:H1"/>
    <mergeCell ref="A2:H2"/>
    <mergeCell ref="A4:H4"/>
    <mergeCell ref="A13:F13"/>
    <mergeCell ref="A16:F16"/>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11 — ELV CONTAINMENT (Tel/Data, CCTV, ACS, MATV, FA)&amp;RPage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662</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663</v>
      </c>
      <c r="B4"/>
      <c r="C4"/>
      <c r="D4"/>
      <c r="E4"/>
      <c r="F4"/>
      <c r="G4"/>
      <c r="H4"/>
    </row>
    <row r="5" ht="74" customHeight="1" spans="1:8" x14ac:dyDescent="0.25">
      <c r="A5" s="3" t="s">
        <v>664</v>
      </c>
      <c r="B5" s="4" t="s">
        <v>665</v>
      </c>
      <c r="C5" s="4" t="s">
        <v>666</v>
      </c>
      <c r="D5" s="13" t="s">
        <v>367</v>
      </c>
      <c r="E5" s="25">
        <v>120</v>
      </c>
      <c r="F5" s="26">
        <v>850</v>
      </c>
      <c r="G5" s="26">
        <f>IF(OR(E5="",F5=""),"",E5*F5)</f>
      </c>
      <c r="H5" s="4" t="s">
        <v>667</v>
      </c>
    </row>
    <row r="6" ht="60" customHeight="1" spans="1:8" x14ac:dyDescent="0.25">
      <c r="A6" s="27" t="s">
        <v>668</v>
      </c>
      <c r="B6" s="28" t="s">
        <v>669</v>
      </c>
      <c r="C6" s="28" t="s">
        <v>666</v>
      </c>
      <c r="D6" s="29" t="s">
        <v>367</v>
      </c>
      <c r="E6" s="30">
        <v>12</v>
      </c>
      <c r="F6" s="31">
        <v>2400</v>
      </c>
      <c r="G6" s="31">
        <f>IF(OR(E6="",F6=""),"",E6*F6)</f>
      </c>
      <c r="H6" s="28" t="s">
        <v>667</v>
      </c>
    </row>
    <row r="7" ht="46" customHeight="1" spans="1:8" x14ac:dyDescent="0.25">
      <c r="A7" s="3" t="s">
        <v>670</v>
      </c>
      <c r="B7" s="4" t="s">
        <v>671</v>
      </c>
      <c r="C7" s="4" t="s">
        <v>666</v>
      </c>
      <c r="D7" s="13" t="s">
        <v>367</v>
      </c>
      <c r="E7" s="25">
        <v>8</v>
      </c>
      <c r="F7" s="26">
        <v>3200</v>
      </c>
      <c r="G7" s="26">
        <f>IF(OR(E7="",F7=""),"",E7*F7)</f>
      </c>
      <c r="H7" s="4" t="s">
        <v>667</v>
      </c>
    </row>
    <row r="8" ht="46" customHeight="1" spans="1:8" x14ac:dyDescent="0.25">
      <c r="A8" s="27" t="s">
        <v>672</v>
      </c>
      <c r="B8" s="28" t="s">
        <v>673</v>
      </c>
      <c r="C8" s="28" t="s">
        <v>666</v>
      </c>
      <c r="D8" s="29" t="s">
        <v>486</v>
      </c>
      <c r="E8" s="30">
        <v>1</v>
      </c>
      <c r="F8" s="31">
        <v>12000</v>
      </c>
      <c r="G8" s="31">
        <f>IF(OR(E8="",F8=""),"",E8*F8)</f>
      </c>
      <c r="H8" s="28" t="s">
        <v>674</v>
      </c>
    </row>
    <row r="9" ht="60" customHeight="1" spans="1:8" x14ac:dyDescent="0.25">
      <c r="A9" s="3" t="s">
        <v>675</v>
      </c>
      <c r="B9" s="4" t="s">
        <v>676</v>
      </c>
      <c r="C9" s="4" t="s">
        <v>666</v>
      </c>
      <c r="D9" s="13" t="s">
        <v>299</v>
      </c>
      <c r="E9" s="25">
        <v>1</v>
      </c>
      <c r="F9" s="26">
        <v>28000</v>
      </c>
      <c r="G9" s="26">
        <f>IF(OR(E9="",F9=""),"",E9*F9)</f>
      </c>
      <c r="H9" s="4" t="s">
        <v>667</v>
      </c>
    </row>
    <row r="10" ht="19.5" customHeight="1" spans="1:8" x14ac:dyDescent="0.25">
      <c r="A10" s="32" t="s">
        <v>677</v>
      </c>
      <c r="B10"/>
      <c r="C10"/>
      <c r="D10"/>
      <c r="E10"/>
      <c r="F10"/>
      <c r="G10" s="33">
        <f>SUM(G5:G9)</f>
      </c>
      <c r="H10" s="32" t="s">
        <v>310</v>
      </c>
    </row>
    <row r="11" spans="1:1" x14ac:dyDescent="0.25"/>
    <row r="12" ht="19.5" customHeight="1" spans="1:8" x14ac:dyDescent="0.25">
      <c r="A12" s="5" t="s">
        <v>678</v>
      </c>
      <c r="B12"/>
      <c r="C12"/>
      <c r="D12"/>
      <c r="E12"/>
      <c r="F12"/>
      <c r="G12"/>
      <c r="H12"/>
    </row>
    <row r="13" ht="46" customHeight="1" spans="1:8" x14ac:dyDescent="0.25">
      <c r="A13" s="3" t="s">
        <v>679</v>
      </c>
      <c r="B13" s="4" t="s">
        <v>680</v>
      </c>
      <c r="C13" s="4" t="s">
        <v>666</v>
      </c>
      <c r="D13" s="13" t="s">
        <v>367</v>
      </c>
      <c r="E13" s="25">
        <v>12</v>
      </c>
      <c r="F13" s="26">
        <v>2800</v>
      </c>
      <c r="G13" s="26">
        <f>IF(OR(E13="",F13=""),"",E13*F13)</f>
      </c>
      <c r="H13" s="4" t="s">
        <v>674</v>
      </c>
    </row>
    <row r="14" ht="46" customHeight="1" spans="1:8" x14ac:dyDescent="0.25">
      <c r="A14" s="27" t="s">
        <v>681</v>
      </c>
      <c r="B14" s="28" t="s">
        <v>682</v>
      </c>
      <c r="C14" s="28" t="s">
        <v>666</v>
      </c>
      <c r="D14" s="29" t="s">
        <v>299</v>
      </c>
      <c r="E14" s="30">
        <v>1</v>
      </c>
      <c r="F14" s="31">
        <v>85000</v>
      </c>
      <c r="G14" s="31">
        <f>IF(OR(E14="",F14=""),"",E14*F14)</f>
      </c>
      <c r="H14" s="28" t="s">
        <v>667</v>
      </c>
    </row>
    <row r="15" ht="46" customHeight="1" spans="1:8" x14ac:dyDescent="0.25">
      <c r="A15" s="3" t="s">
        <v>683</v>
      </c>
      <c r="B15" s="4" t="s">
        <v>684</v>
      </c>
      <c r="C15" s="4" t="s">
        <v>666</v>
      </c>
      <c r="D15" s="13" t="s">
        <v>299</v>
      </c>
      <c r="E15" s="25">
        <v>1</v>
      </c>
      <c r="F15" s="26">
        <v>25000</v>
      </c>
      <c r="G15" s="26">
        <f>IF(OR(E15="",F15=""),"",E15*F15)</f>
      </c>
      <c r="H15" s="4" t="s">
        <v>667</v>
      </c>
    </row>
    <row r="16" ht="32" customHeight="1" spans="1:8" x14ac:dyDescent="0.25">
      <c r="A16" s="27" t="s">
        <v>685</v>
      </c>
      <c r="B16" s="28" t="s">
        <v>686</v>
      </c>
      <c r="C16" s="28" t="s">
        <v>666</v>
      </c>
      <c r="D16" s="29" t="s">
        <v>299</v>
      </c>
      <c r="E16" s="30">
        <v>1</v>
      </c>
      <c r="F16" s="31">
        <v>18000</v>
      </c>
      <c r="G16" s="31">
        <f>IF(OR(E16="",F16=""),"",E16*F16)</f>
      </c>
      <c r="H16" s="28" t="s">
        <v>667</v>
      </c>
    </row>
    <row r="17" ht="32" customHeight="1" spans="1:8" x14ac:dyDescent="0.25">
      <c r="A17" s="3" t="s">
        <v>687</v>
      </c>
      <c r="B17" s="4" t="s">
        <v>688</v>
      </c>
      <c r="C17" s="4" t="s">
        <v>666</v>
      </c>
      <c r="D17" s="13" t="s">
        <v>299</v>
      </c>
      <c r="E17" s="25">
        <v>1</v>
      </c>
      <c r="F17" s="26">
        <v>12000</v>
      </c>
      <c r="G17" s="26">
        <f>IF(OR(E17="",F17=""),"",E17*F17)</f>
      </c>
      <c r="H17" s="4" t="s">
        <v>667</v>
      </c>
    </row>
    <row r="18" ht="19.5" customHeight="1" spans="1:8" x14ac:dyDescent="0.25">
      <c r="A18" s="32" t="s">
        <v>689</v>
      </c>
      <c r="B18"/>
      <c r="C18"/>
      <c r="D18"/>
      <c r="E18"/>
      <c r="F18"/>
      <c r="G18" s="33">
        <f>SUM(G13:G17)</f>
      </c>
      <c r="H18" s="32" t="s">
        <v>310</v>
      </c>
    </row>
    <row r="19" spans="1:1" x14ac:dyDescent="0.25"/>
    <row r="20" spans="1:1" x14ac:dyDescent="0.25"/>
    <row r="21" ht="24" customHeight="1" spans="1:8" x14ac:dyDescent="0.25">
      <c r="A21" s="34" t="s">
        <v>690</v>
      </c>
      <c r="B21"/>
      <c r="C21"/>
      <c r="D21"/>
      <c r="E21"/>
      <c r="F21"/>
      <c r="G21" s="35">
        <f>SUMIF(A4:A19,"*.*.*",G4:G19)</f>
      </c>
      <c r="H21" s="34" t="s">
        <v>310</v>
      </c>
    </row>
  </sheetData>
  <mergeCells count="7">
    <mergeCell ref="A1:H1"/>
    <mergeCell ref="A2:H2"/>
    <mergeCell ref="A4:H4"/>
    <mergeCell ref="A10:F10"/>
    <mergeCell ref="A12:H12"/>
    <mergeCell ref="A18:F18"/>
    <mergeCell ref="A21:F21"/>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12 — METERING &amp; MONITORING&amp;RPage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5"/>
  <sheetViews>
    <sheetView workbookViewId="0">
      <pane ySplit="3" topLeftCell="A4" activePane="bottomLeft" state="frozen"/>
      <selection pane="bottomLeft" activeCell="A4" sqref="A4"/>
    </sheetView>
  </sheetViews>
  <sheetFormatPr defaultRowHeight="15" outlineLevelRow="0" outlineLevelCol="0" x14ac:dyDescent="55"/>
  <cols>
    <col min="1" max="1" width="7" customWidth="1"/>
    <col min="2" max="2" width="58" customWidth="1"/>
    <col min="3" max="3" width="22" customWidth="1"/>
    <col min="4" max="4" width="8" customWidth="1"/>
    <col min="6" max="6" width="13" customWidth="1"/>
    <col min="7" max="7" width="16" customWidth="1"/>
    <col min="8" max="8" width="32" customWidth="1"/>
  </cols>
  <sheetData>
    <row r="1" ht="27.75" customHeight="1" spans="1:8" x14ac:dyDescent="0.25">
      <c r="A1" s="1" t="s">
        <v>691</v>
      </c>
      <c r="B1"/>
      <c r="C1"/>
      <c r="D1"/>
      <c r="E1"/>
      <c r="F1"/>
      <c r="G1"/>
      <c r="H1"/>
    </row>
    <row r="2" ht="13.5" customHeight="1" spans="1:8" x14ac:dyDescent="0.25">
      <c r="A2" s="24" t="s">
        <v>287</v>
      </c>
      <c r="B2"/>
      <c r="C2"/>
      <c r="D2"/>
      <c r="E2"/>
      <c r="F2"/>
      <c r="G2"/>
      <c r="H2"/>
    </row>
    <row r="3" ht="27.75" customHeight="1" spans="1:8" x14ac:dyDescent="0.25">
      <c r="A3" s="12" t="s">
        <v>288</v>
      </c>
      <c r="B3" s="12" t="s">
        <v>50</v>
      </c>
      <c r="C3" s="12" t="s">
        <v>289</v>
      </c>
      <c r="D3" s="12" t="s">
        <v>290</v>
      </c>
      <c r="E3" s="12" t="s">
        <v>291</v>
      </c>
      <c r="F3" s="12" t="s">
        <v>292</v>
      </c>
      <c r="G3" s="12" t="s">
        <v>293</v>
      </c>
      <c r="H3" s="12" t="s">
        <v>294</v>
      </c>
    </row>
    <row r="4" ht="19.5" customHeight="1" spans="1:8" x14ac:dyDescent="0.25">
      <c r="A4" s="5" t="s">
        <v>692</v>
      </c>
      <c r="B4"/>
      <c r="C4"/>
      <c r="D4"/>
      <c r="E4"/>
      <c r="F4"/>
      <c r="G4"/>
      <c r="H4"/>
    </row>
    <row r="5" ht="32" customHeight="1" spans="1:8" x14ac:dyDescent="0.25">
      <c r="A5" s="3" t="s">
        <v>693</v>
      </c>
      <c r="B5" s="4" t="s">
        <v>694</v>
      </c>
      <c r="C5" s="4" t="s">
        <v>695</v>
      </c>
      <c r="D5" s="13" t="s">
        <v>299</v>
      </c>
      <c r="E5" s="25">
        <v>1</v>
      </c>
      <c r="F5" s="26">
        <v>18000</v>
      </c>
      <c r="G5" s="26">
        <f>IF(OR(E5="",F5=""),"",E5*F5)</f>
      </c>
      <c r="H5" s="4" t="s">
        <v>300</v>
      </c>
    </row>
    <row r="6" ht="18" customHeight="1" spans="1:8" x14ac:dyDescent="0.25">
      <c r="A6" s="27" t="s">
        <v>696</v>
      </c>
      <c r="B6" s="28" t="s">
        <v>697</v>
      </c>
      <c r="C6" s="28" t="s">
        <v>695</v>
      </c>
      <c r="D6" s="29" t="s">
        <v>299</v>
      </c>
      <c r="E6" s="30">
        <v>1</v>
      </c>
      <c r="F6" s="31">
        <v>12000</v>
      </c>
      <c r="G6" s="31">
        <f>IF(OR(E6="",F6=""),"",E6*F6)</f>
      </c>
      <c r="H6" s="28" t="s">
        <v>300</v>
      </c>
    </row>
    <row r="7" ht="18" customHeight="1" spans="1:8" x14ac:dyDescent="0.25">
      <c r="A7" s="3" t="s">
        <v>698</v>
      </c>
      <c r="B7" s="4" t="s">
        <v>699</v>
      </c>
      <c r="C7" s="4" t="s">
        <v>695</v>
      </c>
      <c r="D7" s="13" t="s">
        <v>299</v>
      </c>
      <c r="E7" s="25">
        <v>1</v>
      </c>
      <c r="F7" s="26">
        <v>2400</v>
      </c>
      <c r="G7" s="26">
        <f>IF(OR(E7="",F7=""),"",E7*F7)</f>
      </c>
      <c r="H7" s="4" t="s">
        <v>300</v>
      </c>
    </row>
    <row r="8" ht="18" customHeight="1" spans="1:8" x14ac:dyDescent="0.25">
      <c r="A8" s="27" t="s">
        <v>700</v>
      </c>
      <c r="B8" s="28" t="s">
        <v>701</v>
      </c>
      <c r="C8" s="28" t="s">
        <v>695</v>
      </c>
      <c r="D8" s="29" t="s">
        <v>299</v>
      </c>
      <c r="E8" s="30">
        <v>1</v>
      </c>
      <c r="F8" s="31">
        <v>6500</v>
      </c>
      <c r="G8" s="31">
        <f>IF(OR(E8="",F8=""),"",E8*F8)</f>
      </c>
      <c r="H8" s="28" t="s">
        <v>300</v>
      </c>
    </row>
    <row r="9" ht="18" customHeight="1" spans="1:8" x14ac:dyDescent="0.25">
      <c r="A9" s="3" t="s">
        <v>702</v>
      </c>
      <c r="B9" s="4" t="s">
        <v>703</v>
      </c>
      <c r="C9" s="4" t="s">
        <v>695</v>
      </c>
      <c r="D9" s="13" t="s">
        <v>299</v>
      </c>
      <c r="E9" s="25">
        <v>1</v>
      </c>
      <c r="F9" s="26">
        <v>5500</v>
      </c>
      <c r="G9" s="26">
        <f>IF(OR(E9="",F9=""),"",E9*F9)</f>
      </c>
      <c r="H9" s="4" t="s">
        <v>300</v>
      </c>
    </row>
    <row r="10" ht="19.5" customHeight="1" spans="1:8" x14ac:dyDescent="0.25">
      <c r="A10" s="32" t="s">
        <v>704</v>
      </c>
      <c r="B10"/>
      <c r="C10"/>
      <c r="D10"/>
      <c r="E10"/>
      <c r="F10"/>
      <c r="G10" s="33">
        <f>SUM(G5:G9)</f>
      </c>
      <c r="H10" s="32" t="s">
        <v>310</v>
      </c>
    </row>
    <row r="11" spans="1:1" x14ac:dyDescent="0.25"/>
    <row r="12" ht="19.5" customHeight="1" spans="1:8" x14ac:dyDescent="0.25">
      <c r="A12" s="5" t="s">
        <v>705</v>
      </c>
      <c r="B12"/>
      <c r="C12"/>
      <c r="D12"/>
      <c r="E12"/>
      <c r="F12"/>
      <c r="G12"/>
      <c r="H12"/>
    </row>
    <row r="13" ht="32" customHeight="1" spans="1:8" x14ac:dyDescent="0.25">
      <c r="A13" s="3" t="s">
        <v>706</v>
      </c>
      <c r="B13" s="4" t="s">
        <v>707</v>
      </c>
      <c r="C13" s="4" t="s">
        <v>695</v>
      </c>
      <c r="D13" s="13" t="s">
        <v>299</v>
      </c>
      <c r="E13" s="25">
        <v>1</v>
      </c>
      <c r="F13" s="26">
        <v>80000</v>
      </c>
      <c r="G13" s="26">
        <f>IF(OR(E13="",F13=""),"",E13*F13)</f>
      </c>
      <c r="H13" s="4" t="s">
        <v>708</v>
      </c>
    </row>
    <row r="14" ht="32" customHeight="1" spans="1:8" x14ac:dyDescent="0.25">
      <c r="A14" s="27" t="s">
        <v>709</v>
      </c>
      <c r="B14" s="28" t="s">
        <v>710</v>
      </c>
      <c r="C14" s="28" t="s">
        <v>695</v>
      </c>
      <c r="D14" s="29" t="s">
        <v>299</v>
      </c>
      <c r="E14" s="30">
        <v>1</v>
      </c>
      <c r="F14" s="31">
        <v>28000</v>
      </c>
      <c r="G14" s="31">
        <f>IF(OR(E14="",F14=""),"",E14*F14)</f>
      </c>
      <c r="H14" s="28" t="s">
        <v>711</v>
      </c>
    </row>
    <row r="15" ht="32" customHeight="1" spans="1:8" x14ac:dyDescent="0.25">
      <c r="A15" s="3" t="s">
        <v>712</v>
      </c>
      <c r="B15" s="4" t="s">
        <v>713</v>
      </c>
      <c r="C15" s="4" t="s">
        <v>695</v>
      </c>
      <c r="D15" s="13" t="s">
        <v>299</v>
      </c>
      <c r="E15" s="25">
        <v>1</v>
      </c>
      <c r="F15" s="26">
        <v>8500</v>
      </c>
      <c r="G15" s="26">
        <f>IF(OR(E15="",F15=""),"",E15*F15)</f>
      </c>
      <c r="H15" s="4" t="s">
        <v>300</v>
      </c>
    </row>
    <row r="16" ht="32" customHeight="1" spans="1:8" x14ac:dyDescent="0.25">
      <c r="A16" s="27" t="s">
        <v>714</v>
      </c>
      <c r="B16" s="28" t="s">
        <v>715</v>
      </c>
      <c r="C16" s="28" t="s">
        <v>695</v>
      </c>
      <c r="D16" s="29" t="s">
        <v>299</v>
      </c>
      <c r="E16" s="30">
        <v>1</v>
      </c>
      <c r="F16" s="31">
        <v>1200</v>
      </c>
      <c r="G16" s="31">
        <f>IF(OR(E16="",F16=""),"",E16*F16)</f>
      </c>
      <c r="H16" s="28" t="s">
        <v>549</v>
      </c>
    </row>
    <row r="17" ht="32" customHeight="1" spans="1:8" x14ac:dyDescent="0.25">
      <c r="A17" s="3" t="s">
        <v>716</v>
      </c>
      <c r="B17" s="4" t="s">
        <v>717</v>
      </c>
      <c r="C17" s="4" t="s">
        <v>695</v>
      </c>
      <c r="D17" s="13" t="s">
        <v>299</v>
      </c>
      <c r="E17" s="25">
        <v>1</v>
      </c>
      <c r="F17" s="26">
        <v>5500</v>
      </c>
      <c r="G17" s="26">
        <f>IF(OR(E17="",F17=""),"",E17*F17)</f>
      </c>
      <c r="H17" s="4" t="s">
        <v>568</v>
      </c>
    </row>
    <row r="18" ht="18" customHeight="1" spans="1:8" x14ac:dyDescent="0.25">
      <c r="A18" s="27" t="s">
        <v>718</v>
      </c>
      <c r="B18" s="28" t="s">
        <v>719</v>
      </c>
      <c r="C18" s="28" t="s">
        <v>695</v>
      </c>
      <c r="D18" s="29" t="s">
        <v>299</v>
      </c>
      <c r="E18" s="30">
        <v>1</v>
      </c>
      <c r="F18" s="31">
        <v>4500</v>
      </c>
      <c r="G18" s="31">
        <f>IF(OR(E18="",F18=""),"",E18*F18)</f>
      </c>
      <c r="H18" s="28" t="s">
        <v>300</v>
      </c>
    </row>
    <row r="19" ht="19.5" customHeight="1" spans="1:8" x14ac:dyDescent="0.25">
      <c r="A19" s="32" t="s">
        <v>720</v>
      </c>
      <c r="B19"/>
      <c r="C19"/>
      <c r="D19"/>
      <c r="E19"/>
      <c r="F19"/>
      <c r="G19" s="33">
        <f>SUM(G13:G18)</f>
      </c>
      <c r="H19" s="32" t="s">
        <v>310</v>
      </c>
    </row>
    <row r="20" spans="1:1" x14ac:dyDescent="0.25"/>
    <row r="21" ht="19.5" customHeight="1" spans="1:8" x14ac:dyDescent="0.25">
      <c r="A21" s="5" t="s">
        <v>721</v>
      </c>
      <c r="B21"/>
      <c r="C21"/>
      <c r="D21"/>
      <c r="E21"/>
      <c r="F21"/>
      <c r="G21"/>
      <c r="H21"/>
    </row>
    <row r="22" ht="74" customHeight="1" spans="1:8" x14ac:dyDescent="0.25">
      <c r="A22" s="3" t="s">
        <v>722</v>
      </c>
      <c r="B22" s="4" t="s">
        <v>723</v>
      </c>
      <c r="C22" s="4" t="s">
        <v>695</v>
      </c>
      <c r="D22" s="13" t="s">
        <v>299</v>
      </c>
      <c r="E22" s="25">
        <v>1</v>
      </c>
      <c r="F22" s="26">
        <v>35000</v>
      </c>
      <c r="G22" s="26">
        <f>IF(OR(E22="",F22=""),"",E22*F22)</f>
      </c>
      <c r="H22" s="4" t="s">
        <v>345</v>
      </c>
    </row>
    <row r="23" ht="32" customHeight="1" spans="1:8" x14ac:dyDescent="0.25">
      <c r="A23" s="27" t="s">
        <v>724</v>
      </c>
      <c r="B23" s="28" t="s">
        <v>725</v>
      </c>
      <c r="C23" s="28" t="s">
        <v>695</v>
      </c>
      <c r="D23" s="29" t="s">
        <v>299</v>
      </c>
      <c r="E23" s="30">
        <v>1</v>
      </c>
      <c r="F23" s="31">
        <v>50000</v>
      </c>
      <c r="G23" s="31">
        <f>IF(OR(E23="",F23=""),"",E23*F23)</f>
      </c>
      <c r="H23" s="28" t="s">
        <v>345</v>
      </c>
    </row>
    <row r="24" ht="46" customHeight="1" spans="1:8" x14ac:dyDescent="0.25">
      <c r="A24" s="3" t="s">
        <v>726</v>
      </c>
      <c r="B24" s="4" t="s">
        <v>727</v>
      </c>
      <c r="C24" s="4" t="s">
        <v>695</v>
      </c>
      <c r="D24" s="13" t="s">
        <v>299</v>
      </c>
      <c r="E24" s="25">
        <v>1</v>
      </c>
      <c r="F24" s="26">
        <v>18000</v>
      </c>
      <c r="G24" s="26">
        <f>IF(OR(E24="",F24=""),"",E24*F24)</f>
      </c>
      <c r="H24" s="4" t="s">
        <v>345</v>
      </c>
    </row>
    <row r="25" ht="46" customHeight="1" spans="1:8" x14ac:dyDescent="0.25">
      <c r="A25" s="27" t="s">
        <v>728</v>
      </c>
      <c r="B25" s="28" t="s">
        <v>729</v>
      </c>
      <c r="C25" s="28" t="s">
        <v>695</v>
      </c>
      <c r="D25" s="29" t="s">
        <v>299</v>
      </c>
      <c r="E25" s="30">
        <v>1</v>
      </c>
      <c r="F25" s="31">
        <v>22000</v>
      </c>
      <c r="G25" s="31">
        <f>IF(OR(E25="",F25=""),"",E25*F25)</f>
      </c>
      <c r="H25" s="28" t="s">
        <v>345</v>
      </c>
    </row>
    <row r="26" ht="46" customHeight="1" spans="1:8" x14ac:dyDescent="0.25">
      <c r="A26" s="3" t="s">
        <v>730</v>
      </c>
      <c r="B26" s="4" t="s">
        <v>731</v>
      </c>
      <c r="C26" s="4" t="s">
        <v>695</v>
      </c>
      <c r="D26" s="13" t="s">
        <v>299</v>
      </c>
      <c r="E26" s="25">
        <v>1</v>
      </c>
      <c r="F26" s="26">
        <v>28000</v>
      </c>
      <c r="G26" s="26">
        <f>IF(OR(E26="",F26=""),"",E26*F26)</f>
      </c>
      <c r="H26" s="4" t="s">
        <v>345</v>
      </c>
    </row>
    <row r="27" ht="46" customHeight="1" spans="1:8" x14ac:dyDescent="0.25">
      <c r="A27" s="27" t="s">
        <v>732</v>
      </c>
      <c r="B27" s="28" t="s">
        <v>733</v>
      </c>
      <c r="C27" s="28" t="s">
        <v>695</v>
      </c>
      <c r="D27" s="29" t="s">
        <v>299</v>
      </c>
      <c r="E27" s="30">
        <v>1</v>
      </c>
      <c r="F27" s="31">
        <v>32000</v>
      </c>
      <c r="G27" s="31">
        <f>IF(OR(E27="",F27=""),"",E27*F27)</f>
      </c>
      <c r="H27" s="28" t="s">
        <v>345</v>
      </c>
    </row>
    <row r="28" ht="46" customHeight="1" spans="1:8" x14ac:dyDescent="0.25">
      <c r="A28" s="3" t="s">
        <v>734</v>
      </c>
      <c r="B28" s="4" t="s">
        <v>735</v>
      </c>
      <c r="C28" s="4" t="s">
        <v>695</v>
      </c>
      <c r="D28" s="13" t="s">
        <v>299</v>
      </c>
      <c r="E28" s="25">
        <v>1</v>
      </c>
      <c r="F28" s="26">
        <v>12000</v>
      </c>
      <c r="G28" s="26">
        <f>IF(OR(E28="",F28=""),"",E28*F28)</f>
      </c>
      <c r="H28" s="4" t="s">
        <v>345</v>
      </c>
    </row>
    <row r="29" ht="46" customHeight="1" spans="1:8" x14ac:dyDescent="0.25">
      <c r="A29" s="27" t="s">
        <v>736</v>
      </c>
      <c r="B29" s="28" t="s">
        <v>737</v>
      </c>
      <c r="C29" s="28" t="s">
        <v>695</v>
      </c>
      <c r="D29" s="29" t="s">
        <v>299</v>
      </c>
      <c r="E29" s="30">
        <v>1</v>
      </c>
      <c r="F29" s="31">
        <v>22000</v>
      </c>
      <c r="G29" s="31">
        <f>IF(OR(E29="",F29=""),"",E29*F29)</f>
      </c>
      <c r="H29" s="28" t="s">
        <v>345</v>
      </c>
    </row>
    <row r="30" ht="46" customHeight="1" spans="1:8" x14ac:dyDescent="0.25">
      <c r="A30" s="3" t="s">
        <v>738</v>
      </c>
      <c r="B30" s="4" t="s">
        <v>739</v>
      </c>
      <c r="C30" s="4" t="s">
        <v>695</v>
      </c>
      <c r="D30" s="13" t="s">
        <v>299</v>
      </c>
      <c r="E30" s="25">
        <v>1</v>
      </c>
      <c r="F30" s="26">
        <v>8500</v>
      </c>
      <c r="G30" s="26">
        <f>IF(OR(E30="",F30=""),"",E30*F30)</f>
      </c>
      <c r="H30" s="4" t="s">
        <v>345</v>
      </c>
    </row>
    <row r="31" ht="32" customHeight="1" spans="1:8" x14ac:dyDescent="0.25">
      <c r="A31" s="27" t="s">
        <v>740</v>
      </c>
      <c r="B31" s="28" t="s">
        <v>741</v>
      </c>
      <c r="C31" s="28" t="s">
        <v>695</v>
      </c>
      <c r="D31" s="29" t="s">
        <v>299</v>
      </c>
      <c r="E31" s="30">
        <v>1</v>
      </c>
      <c r="F31" s="31">
        <v>4500</v>
      </c>
      <c r="G31" s="31">
        <f>IF(OR(E31="",F31=""),"",E31*F31)</f>
      </c>
      <c r="H31" s="28" t="s">
        <v>345</v>
      </c>
    </row>
    <row r="32" ht="19.5" customHeight="1" spans="1:8" x14ac:dyDescent="0.25">
      <c r="A32" s="32" t="s">
        <v>742</v>
      </c>
      <c r="B32"/>
      <c r="C32"/>
      <c r="D32"/>
      <c r="E32"/>
      <c r="F32"/>
      <c r="G32" s="33">
        <f>SUM(G22:G31)</f>
      </c>
      <c r="H32" s="32" t="s">
        <v>310</v>
      </c>
    </row>
    <row r="33" spans="1:1" x14ac:dyDescent="0.25"/>
    <row r="34" spans="1:1" x14ac:dyDescent="0.25"/>
    <row r="35" ht="24" customHeight="1" spans="1:8" x14ac:dyDescent="0.25">
      <c r="A35" s="34" t="s">
        <v>743</v>
      </c>
      <c r="B35"/>
      <c r="C35"/>
      <c r="D35"/>
      <c r="E35"/>
      <c r="F35"/>
      <c r="G35" s="35">
        <f>SUMIF(A4:A33,"*.*.*",G4:G33)</f>
      </c>
      <c r="H35" s="34" t="s">
        <v>310</v>
      </c>
    </row>
  </sheetData>
  <mergeCells count="9">
    <mergeCell ref="A1:H1"/>
    <mergeCell ref="A2:H2"/>
    <mergeCell ref="A4:H4"/>
    <mergeCell ref="A10:F10"/>
    <mergeCell ref="A12:H12"/>
    <mergeCell ref="A19:F19"/>
    <mergeCell ref="A21:H21"/>
    <mergeCell ref="A32:F32"/>
    <mergeCell ref="A35:F35"/>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&amp;LBill 13 — TESTING, COMMISSIONING &amp; DEWA APPROVAL&amp;RPage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4"/>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2" width="56" customWidth="1"/>
    <col min="3" max="3" width="14" customWidth="1"/>
    <col min="4" max="4" width="22" customWidth="1"/>
    <col min="5" max="5" width="35" customWidth="1"/>
    <col min="6" max="6" width="5" customWidth="1"/>
  </cols>
  <sheetData>
    <row r="1" ht="27.75" customHeight="1" spans="1:5" x14ac:dyDescent="0.25">
      <c r="A1" s="1" t="s">
        <v>744</v>
      </c>
      <c r="B1"/>
      <c r="C1"/>
      <c r="D1"/>
      <c r="E1"/>
    </row>
    <row r="2" ht="18" customHeight="1" spans="1:5" x14ac:dyDescent="0.25">
      <c r="A2" s="37" t="s">
        <v>745</v>
      </c>
      <c r="B2"/>
      <c r="C2"/>
      <c r="D2"/>
      <c r="E2"/>
    </row>
    <row r="3" spans="1:1" x14ac:dyDescent="0.25"/>
    <row r="4" ht="27.75" customHeight="1" spans="1:5" x14ac:dyDescent="0.25">
      <c r="A4" s="12" t="s">
        <v>49</v>
      </c>
      <c r="B4" s="12" t="s">
        <v>50</v>
      </c>
      <c r="C4" s="12" t="s">
        <v>746</v>
      </c>
      <c r="D4" s="12" t="s">
        <v>747</v>
      </c>
      <c r="E4" s="12" t="s">
        <v>100</v>
      </c>
    </row>
    <row r="5" spans="1:5" x14ac:dyDescent="0.25">
      <c r="A5" s="13">
        <v>1</v>
      </c>
      <c r="B5" s="4" t="s">
        <v>52</v>
      </c>
      <c r="C5" s="4" t="s">
        <v>53</v>
      </c>
      <c r="D5" s="26">
        <f>'Bill 1 - Preliminaries'!G43</f>
        <v>0</v>
      </c>
      <c r="E5" s="4" t="s">
        <v>748</v>
      </c>
    </row>
    <row r="6" spans="1:5" x14ac:dyDescent="0.25">
      <c r="A6" s="29">
        <v>2</v>
      </c>
      <c r="B6" s="28" t="s">
        <v>749</v>
      </c>
      <c r="C6" s="28" t="s">
        <v>55</v>
      </c>
      <c r="D6" s="31">
        <f>'Bill 2 - HV-LV Main'!G25</f>
        <v>0</v>
      </c>
      <c r="E6" s="28" t="s">
        <v>750</v>
      </c>
    </row>
    <row r="7" spans="1:5" x14ac:dyDescent="0.25">
      <c r="A7" s="13">
        <v>3</v>
      </c>
      <c r="B7" s="4" t="s">
        <v>751</v>
      </c>
      <c r="C7" s="4" t="s">
        <v>57</v>
      </c>
      <c r="D7" s="26">
        <f>'Bill 3 - SMDBs'!G6</f>
        <v>0</v>
      </c>
      <c r="E7" s="4" t="s">
        <v>752</v>
      </c>
    </row>
    <row r="8" spans="1:5" x14ac:dyDescent="0.25">
      <c r="A8" s="29">
        <v>4</v>
      </c>
      <c r="B8" s="28" t="s">
        <v>753</v>
      </c>
      <c r="C8" s="28" t="s">
        <v>59</v>
      </c>
      <c r="D8" s="31">
        <f>'Bill 4 - Distribution Boards'!G12</f>
        <v>0</v>
      </c>
      <c r="E8" s="28" t="s">
        <v>754</v>
      </c>
    </row>
    <row r="9" spans="1:5" x14ac:dyDescent="0.25">
      <c r="A9" s="13">
        <v>5</v>
      </c>
      <c r="B9" s="4" t="s">
        <v>755</v>
      </c>
      <c r="C9" s="4" t="s">
        <v>61</v>
      </c>
      <c r="D9" s="26">
        <f>'Bill 5 - LV Cables'!G12</f>
        <v>0</v>
      </c>
      <c r="E9" s="4" t="s">
        <v>756</v>
      </c>
    </row>
    <row r="10" spans="1:5" x14ac:dyDescent="0.25">
      <c r="A10" s="29">
        <v>6</v>
      </c>
      <c r="B10" s="28" t="s">
        <v>757</v>
      </c>
      <c r="C10" s="28" t="s">
        <v>63</v>
      </c>
      <c r="D10" s="31">
        <f>'Bill 6 - Containment'!G18</f>
        <v>0</v>
      </c>
      <c r="E10" s="28" t="s">
        <v>758</v>
      </c>
    </row>
    <row r="11" spans="1:5" x14ac:dyDescent="0.25">
      <c r="A11" s="13">
        <v>7</v>
      </c>
      <c r="B11" s="4" t="s">
        <v>64</v>
      </c>
      <c r="C11" s="4" t="s">
        <v>65</v>
      </c>
      <c r="D11" s="26">
        <f>'Bill 7 - Wiring Devices'!G31</f>
        <v>0</v>
      </c>
      <c r="E11" s="4" t="s">
        <v>759</v>
      </c>
    </row>
    <row r="12" spans="1:5" x14ac:dyDescent="0.25">
      <c r="A12" s="29">
        <v>8</v>
      </c>
      <c r="B12" s="28" t="s">
        <v>760</v>
      </c>
      <c r="C12" s="28" t="s">
        <v>67</v>
      </c>
      <c r="D12" s="31">
        <f>'Bill 8 - Lighting Fixtures'!G29</f>
        <v>0</v>
      </c>
      <c r="E12" s="28" t="s">
        <v>761</v>
      </c>
    </row>
    <row r="13" spans="1:5" x14ac:dyDescent="0.25">
      <c r="A13" s="13">
        <v>9</v>
      </c>
      <c r="B13" s="4" t="s">
        <v>68</v>
      </c>
      <c r="C13" s="4" t="s">
        <v>69</v>
      </c>
      <c r="D13" s="26">
        <f>'Bill 9 - Earthing &amp; LP'!G25</f>
        <v>0</v>
      </c>
      <c r="E13" s="4" t="s">
        <v>762</v>
      </c>
    </row>
    <row r="14" spans="1:5" x14ac:dyDescent="0.25">
      <c r="A14" s="29">
        <v>10</v>
      </c>
      <c r="B14" s="28" t="s">
        <v>70</v>
      </c>
      <c r="C14" s="28" t="s">
        <v>71</v>
      </c>
      <c r="D14" s="31">
        <f>'Bill 10 - Emergency Lighting'!G36</f>
        <v>0</v>
      </c>
      <c r="E14" s="28" t="s">
        <v>763</v>
      </c>
    </row>
    <row r="15" spans="1:5" x14ac:dyDescent="0.25">
      <c r="A15" s="13">
        <v>11</v>
      </c>
      <c r="B15" s="4" t="s">
        <v>764</v>
      </c>
      <c r="C15" s="4" t="s">
        <v>73</v>
      </c>
      <c r="D15" s="26">
        <f>'Bill 11 - ELV Containment'!G16</f>
        <v>0</v>
      </c>
      <c r="E15" s="4" t="s">
        <v>765</v>
      </c>
    </row>
    <row r="16" spans="1:5" x14ac:dyDescent="0.25">
      <c r="A16" s="29">
        <v>12</v>
      </c>
      <c r="B16" s="28" t="s">
        <v>74</v>
      </c>
      <c r="C16" s="28" t="s">
        <v>75</v>
      </c>
      <c r="D16" s="31">
        <f>'Bill 12 - Metering'!G21</f>
        <v>0</v>
      </c>
      <c r="E16" s="28" t="s">
        <v>766</v>
      </c>
    </row>
    <row r="17" spans="1:5" x14ac:dyDescent="0.25">
      <c r="A17" s="13">
        <v>13</v>
      </c>
      <c r="B17" s="4" t="s">
        <v>76</v>
      </c>
      <c r="C17" s="4" t="s">
        <v>77</v>
      </c>
      <c r="D17" s="26">
        <f>'Bill 13 - Test &amp; Commissioning'!G35</f>
        <v>0</v>
      </c>
      <c r="E17" s="4" t="s">
        <v>767</v>
      </c>
    </row>
    <row r="18" spans="1:5" x14ac:dyDescent="0.25">
      <c r="A18" s="32" t="s">
        <v>768</v>
      </c>
      <c r="B18"/>
      <c r="C18"/>
      <c r="D18" s="38">
        <f>SUM(D5:D17)</f>
        <v>0</v>
      </c>
      <c r="E18" s="32" t="s">
        <v>310</v>
      </c>
    </row>
    <row r="19" spans="1:5" x14ac:dyDescent="0.25">
      <c r="A19" s="32" t="s">
        <v>769</v>
      </c>
      <c r="B19"/>
      <c r="C19"/>
      <c r="D19" s="38">
        <v>0</v>
      </c>
      <c r="E19" s="32" t="s">
        <v>770</v>
      </c>
    </row>
    <row r="20" spans="1:5" x14ac:dyDescent="0.25">
      <c r="A20" s="32" t="s">
        <v>771</v>
      </c>
      <c r="B20"/>
      <c r="C20"/>
      <c r="D20" s="38">
        <v>0</v>
      </c>
      <c r="E20" s="32" t="s">
        <v>772</v>
      </c>
    </row>
    <row r="21" spans="1:5" x14ac:dyDescent="0.25">
      <c r="A21" s="32" t="s">
        <v>773</v>
      </c>
      <c r="B21"/>
      <c r="C21"/>
      <c r="D21" s="38">
        <f>D18*0.1</f>
        <v>0</v>
      </c>
      <c r="E21" s="32" t="s">
        <v>310</v>
      </c>
    </row>
    <row r="22" spans="1:5" x14ac:dyDescent="0.25">
      <c r="A22" s="32" t="s">
        <v>774</v>
      </c>
      <c r="B22"/>
      <c r="C22"/>
      <c r="D22" s="38">
        <v>0</v>
      </c>
      <c r="E22" s="32" t="s">
        <v>772</v>
      </c>
    </row>
    <row r="23" ht="24" customHeight="1" spans="1:5" x14ac:dyDescent="0.25">
      <c r="A23" s="34" t="s">
        <v>775</v>
      </c>
      <c r="B23"/>
      <c r="C23"/>
      <c r="D23" s="39">
        <f>D18+D19+D20+D21+D22</f>
        <v>0</v>
      </c>
      <c r="E23" s="34" t="s">
        <v>310</v>
      </c>
    </row>
    <row r="24" spans="1:5" x14ac:dyDescent="0.25">
      <c r="A24" s="32" t="s">
        <v>776</v>
      </c>
      <c r="B24"/>
      <c r="C24"/>
      <c r="D24" s="38">
        <f>D23*0.05</f>
        <v>0</v>
      </c>
      <c r="E24" s="32" t="s">
        <v>310</v>
      </c>
    </row>
    <row r="25" ht="28" customHeight="1" spans="1:5" x14ac:dyDescent="0.25">
      <c r="A25" s="34" t="s">
        <v>777</v>
      </c>
      <c r="B25"/>
      <c r="C25"/>
      <c r="D25" s="39">
        <f>D23+D24</f>
        <v>0</v>
      </c>
      <c r="E25" s="34" t="s">
        <v>310</v>
      </c>
    </row>
    <row r="26" spans="1:1" x14ac:dyDescent="0.25"/>
    <row r="27" spans="1:5" x14ac:dyDescent="0.25">
      <c r="A27" s="5" t="s">
        <v>778</v>
      </c>
      <c r="B27"/>
      <c r="C27"/>
      <c r="D27"/>
      <c r="E27"/>
    </row>
    <row r="28" ht="32" customHeight="1" spans="1:5" x14ac:dyDescent="0.25">
      <c r="A28" s="20" t="s">
        <v>779</v>
      </c>
      <c r="B28"/>
      <c r="C28"/>
      <c r="D28"/>
      <c r="E28"/>
    </row>
    <row r="29" ht="18" customHeight="1" spans="1:5" x14ac:dyDescent="0.25">
      <c r="A29" s="20" t="s">
        <v>780</v>
      </c>
      <c r="B29"/>
      <c r="C29"/>
      <c r="D29"/>
      <c r="E29"/>
    </row>
    <row r="30" ht="18" customHeight="1" spans="1:5" x14ac:dyDescent="0.25">
      <c r="A30" s="20" t="s">
        <v>781</v>
      </c>
      <c r="B30"/>
      <c r="C30"/>
      <c r="D30"/>
      <c r="E30"/>
    </row>
    <row r="31" ht="18" customHeight="1" spans="1:5" x14ac:dyDescent="0.25">
      <c r="A31" s="20" t="s">
        <v>782</v>
      </c>
      <c r="B31"/>
      <c r="C31"/>
      <c r="D31"/>
      <c r="E31"/>
    </row>
    <row r="32" ht="18" customHeight="1" spans="1:5" x14ac:dyDescent="0.25">
      <c r="A32" s="20" t="s">
        <v>783</v>
      </c>
      <c r="B32"/>
      <c r="C32"/>
      <c r="D32"/>
      <c r="E32"/>
    </row>
    <row r="33" ht="18" customHeight="1" spans="1:5" x14ac:dyDescent="0.25">
      <c r="A33" s="20" t="s">
        <v>784</v>
      </c>
      <c r="B33"/>
      <c r="C33"/>
      <c r="D33"/>
      <c r="E33"/>
    </row>
    <row r="34" ht="18" customHeight="1" spans="1:5" x14ac:dyDescent="0.25">
      <c r="A34" s="20" t="s">
        <v>785</v>
      </c>
      <c r="B34"/>
      <c r="C34"/>
      <c r="D34"/>
      <c r="E34"/>
    </row>
  </sheetData>
  <mergeCells count="18">
    <mergeCell ref="A1:E1"/>
    <mergeCell ref="A2:E2"/>
    <mergeCell ref="A18:C18"/>
    <mergeCell ref="A19:C19"/>
    <mergeCell ref="A20:C20"/>
    <mergeCell ref="A21:C21"/>
    <mergeCell ref="A22:C22"/>
    <mergeCell ref="A23:C23"/>
    <mergeCell ref="A24:C24"/>
    <mergeCell ref="A25:C25"/>
    <mergeCell ref="A27:E27"/>
    <mergeCell ref="A28:E28"/>
    <mergeCell ref="A29:E29"/>
    <mergeCell ref="A30:E30"/>
    <mergeCell ref="A31:E31"/>
    <mergeCell ref="A32:E32"/>
    <mergeCell ref="A33:E33"/>
    <mergeCell ref="A34:E34"/>
  </mergeCells>
  <printOptions horizontalCentered="1"/>
  <pageMargins left="0.4" right="0.4" top="0.5" bottom="0.5" header="0.3" footer="0.3"/>
  <pageSetup paperSize="9" orientation="portrait" fitToWidth="1" fitToHeight="0"/>
  <headerFooter>
    <oddHeader>&amp;L&amp;"Arial,Bold"&amp;12Proposed B+G+8+R Commercial &amp; Residential Building&amp;R&amp;"Arial,Italic"&amp;10Job FA_P379 / CRs B/010/25</oddHeader>
    <oddFooter>&amp;LBoQ Summary of Bills&amp;RPage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Preamble &amp; Standards</vt:lpstr>
      <vt:lpstr>Bill 1 - Preliminaries</vt:lpstr>
      <vt:lpstr>Bill 2 - HV-LV Main</vt:lpstr>
      <vt:lpstr>Bill 3 - SMDBs</vt:lpstr>
      <vt:lpstr>Bill 4 - Distribution Boards</vt:lpstr>
      <vt:lpstr>Bill 5 - LV Cables</vt:lpstr>
      <vt:lpstr>Bill 6 - Containment</vt:lpstr>
      <vt:lpstr>Bill 7 - Wiring Devices</vt:lpstr>
      <vt:lpstr>Bill 8 - Lighting Fixtures</vt:lpstr>
      <vt:lpstr>Bill 9 - Earthing &amp; LP</vt:lpstr>
      <vt:lpstr>Bill 10 - Emergency Lighting</vt:lpstr>
      <vt:lpstr>Bill 11 - ELV Containment</vt:lpstr>
      <vt:lpstr>Bill 12 - Metering</vt:lpstr>
      <vt:lpstr>Bill 13 - Test &amp; Commissioning</vt:lpstr>
      <vt:lpstr>Summary of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 Engineering &amp; Contracting LLC</dc:creator>
  <dc:title/>
  <dc:subject/>
  <dc:description/>
  <cp:keywords/>
  <cp:category/>
  <cp:lastModifiedBy>SABI Engineering &amp; Contracting LLC</cp:lastModifiedBy>
  <dcterms:created xsi:type="dcterms:W3CDTF">2026-06-24T01:54:21Z</dcterms:created>
  <dcterms:modified xsi:type="dcterms:W3CDTF">2026-06-24T01:54:21Z</dcterms:modified>
</cp:coreProperties>
</file>